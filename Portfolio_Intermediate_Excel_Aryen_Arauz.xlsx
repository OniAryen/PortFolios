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BD0732DC375E892/Documents/"/>
    </mc:Choice>
  </mc:AlternateContent>
  <xr:revisionPtr revIDLastSave="288" documentId="8_{49B16CBB-B9FD-45E1-8F6C-EA5C6C57F9CF}" xr6:coauthVersionLast="47" xr6:coauthVersionMax="47" xr10:uidLastSave="{8BDBAB48-A2A4-4376-89AE-2DF0B7B47BA8}"/>
  <bookViews>
    <workbookView xWindow="28680" yWindow="570" windowWidth="29040" windowHeight="16440" tabRatio="500" activeTab="4" xr2:uid="{00000000-000D-0000-FFFF-FFFF00000000}"/>
  </bookViews>
  <sheets>
    <sheet name="Cover" sheetId="1" r:id="rId1"/>
    <sheet name="Master Data" sheetId="2" r:id="rId2"/>
    <sheet name="Sales Sheet" sheetId="3" r:id="rId3"/>
    <sheet name="Performance Level" sheetId="4" r:id="rId4"/>
    <sheet name="Dashboard" sheetId="6" r:id="rId5"/>
    <sheet name="Methodology" sheetId="8" r:id="rId6"/>
  </sheets>
  <definedNames>
    <definedName name="_xlnm._FilterDatabase" localSheetId="2" hidden="1">'Sales Sheet'!$B$2:$J$42</definedName>
    <definedName name="SegmentaciónDeDatos_Product_Code">#N/A</definedName>
    <definedName name="SegmentaciónDeDatos_Región">#N/A</definedName>
  </definedNames>
  <calcPr calcId="191029" iterateDelta="1E-4"/>
  <pivotCaches>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6" l="1"/>
  <c r="H7" i="4"/>
  <c r="H6" i="4"/>
  <c r="H8" i="4"/>
  <c r="H9" i="4"/>
  <c r="H10" i="4"/>
  <c r="H11" i="4"/>
  <c r="H12" i="4"/>
  <c r="H5" i="4"/>
  <c r="F5" i="4"/>
  <c r="J3" i="3"/>
  <c r="J7" i="3"/>
  <c r="J4" i="3"/>
  <c r="J5" i="3"/>
  <c r="J6"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C24" i="4"/>
  <c r="H15" i="3"/>
  <c r="I15" i="3" s="1"/>
  <c r="H5" i="3"/>
  <c r="I5" i="3" s="1"/>
  <c r="H6" i="3"/>
  <c r="I6" i="3" s="1"/>
  <c r="H7" i="3"/>
  <c r="I7" i="3" s="1"/>
  <c r="H8" i="3"/>
  <c r="I8" i="3" s="1"/>
  <c r="H9" i="3"/>
  <c r="I9" i="3" s="1"/>
  <c r="H10" i="3"/>
  <c r="I10" i="3" s="1"/>
  <c r="H11" i="3"/>
  <c r="I11" i="3" s="1"/>
  <c r="H12" i="3"/>
  <c r="I12" i="3" s="1"/>
  <c r="H13" i="3"/>
  <c r="I13" i="3" s="1"/>
  <c r="H14" i="3"/>
  <c r="I14" i="3" s="1"/>
  <c r="H16" i="3"/>
  <c r="I16" i="3" s="1"/>
  <c r="H17" i="3"/>
  <c r="I17" i="3" s="1"/>
  <c r="H18" i="3"/>
  <c r="I18" i="3" s="1"/>
  <c r="H19" i="3"/>
  <c r="I19" i="3" s="1"/>
  <c r="H20" i="3"/>
  <c r="I20" i="3" s="1"/>
  <c r="H21" i="3"/>
  <c r="I21" i="3" s="1"/>
  <c r="H22" i="3"/>
  <c r="I22" i="3" s="1"/>
  <c r="H23" i="3"/>
  <c r="I23" i="3" s="1"/>
  <c r="H24" i="3"/>
  <c r="I24" i="3" s="1"/>
  <c r="H25" i="3"/>
  <c r="I25" i="3" s="1"/>
  <c r="H26" i="3"/>
  <c r="I26" i="3" s="1"/>
  <c r="H27" i="3"/>
  <c r="I27" i="3" s="1"/>
  <c r="F12" i="4" s="1"/>
  <c r="H28" i="3"/>
  <c r="I28" i="3" s="1"/>
  <c r="H29" i="3"/>
  <c r="I29" i="3" s="1"/>
  <c r="H30" i="3"/>
  <c r="I30" i="3" s="1"/>
  <c r="H31" i="3"/>
  <c r="I31" i="3" s="1"/>
  <c r="H32" i="3"/>
  <c r="I32" i="3" s="1"/>
  <c r="H33" i="3"/>
  <c r="I33" i="3" s="1"/>
  <c r="H34" i="3"/>
  <c r="I34" i="3" s="1"/>
  <c r="H35" i="3"/>
  <c r="I35" i="3" s="1"/>
  <c r="H36" i="3"/>
  <c r="I36" i="3" s="1"/>
  <c r="H37" i="3"/>
  <c r="I37" i="3" s="1"/>
  <c r="H38" i="3"/>
  <c r="I38" i="3" s="1"/>
  <c r="H39" i="3"/>
  <c r="I39" i="3" s="1"/>
  <c r="H40" i="3"/>
  <c r="I40" i="3" s="1"/>
  <c r="H41" i="3"/>
  <c r="I41" i="3" s="1"/>
  <c r="H42" i="3"/>
  <c r="I42" i="3" s="1"/>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H4" i="3"/>
  <c r="I4" i="3" s="1"/>
  <c r="G4" i="3"/>
  <c r="H3" i="3"/>
  <c r="I3" i="3" s="1"/>
  <c r="G3" i="3"/>
  <c r="C21" i="4" l="1"/>
  <c r="C19" i="4"/>
  <c r="C8" i="6" s="1"/>
  <c r="C20" i="4"/>
  <c r="F10" i="4"/>
  <c r="F8" i="4"/>
  <c r="F6" i="4"/>
  <c r="F11" i="4"/>
  <c r="F7" i="4"/>
  <c r="G12" i="4"/>
  <c r="F9" i="4"/>
  <c r="I44" i="3"/>
  <c r="C6" i="6" s="1"/>
  <c r="G5" i="4" l="1"/>
  <c r="C22" i="4"/>
  <c r="C23" i="4"/>
  <c r="G10" i="4"/>
  <c r="G8" i="4"/>
  <c r="G6" i="4"/>
  <c r="G11" i="4"/>
  <c r="G7" i="4"/>
  <c r="G9" i="4"/>
  <c r="E14" i="4" l="1"/>
  <c r="C12" i="6" s="1"/>
</calcChain>
</file>

<file path=xl/sharedStrings.xml><?xml version="1.0" encoding="utf-8"?>
<sst xmlns="http://schemas.openxmlformats.org/spreadsheetml/2006/main" count="256" uniqueCount="120">
  <si>
    <t>EXCEL DATA ANALYSIS PORTFOLIO</t>
  </si>
  <si>
    <t>Information Technology Engineering (ITI) student — UTN, Pacific Campus</t>
  </si>
  <si>
    <t>MASTER DATA — REFERENCE TABLES</t>
  </si>
  <si>
    <t>PRODUCT CATALOG</t>
  </si>
  <si>
    <t>SELLERS</t>
  </si>
  <si>
    <t>Code</t>
  </si>
  <si>
    <t>Product</t>
  </si>
  <si>
    <t>Unit Price</t>
  </si>
  <si>
    <t>Name</t>
  </si>
  <si>
    <t>Region</t>
  </si>
  <si>
    <t>Monthly Quota</t>
  </si>
  <si>
    <t>P-01</t>
  </si>
  <si>
    <t>Laptop 15"</t>
  </si>
  <si>
    <t>V-01</t>
  </si>
  <si>
    <t>Andrea Solano</t>
  </si>
  <si>
    <t>GAM</t>
  </si>
  <si>
    <t>P-02</t>
  </si>
  <si>
    <t>Monitor 24"</t>
  </si>
  <si>
    <t>V-02</t>
  </si>
  <si>
    <t>Kevin Mora</t>
  </si>
  <si>
    <t>Guanacaste</t>
  </si>
  <si>
    <t>P-03</t>
  </si>
  <si>
    <t>Mouse Inalámbrico</t>
  </si>
  <si>
    <t>V-03</t>
  </si>
  <si>
    <t>Priscilla Jiménez</t>
  </si>
  <si>
    <t>Puntarenas</t>
  </si>
  <si>
    <t>P-04</t>
  </si>
  <si>
    <t>Teclado Mecánico</t>
  </si>
  <si>
    <t>V-04</t>
  </si>
  <si>
    <t>Esteban Rojas</t>
  </si>
  <si>
    <t>Zona Sur</t>
  </si>
  <si>
    <t>P-05</t>
  </si>
  <si>
    <t>Audífonos Bluetooth</t>
  </si>
  <si>
    <t>V-05</t>
  </si>
  <si>
    <t>Melissa Campos</t>
  </si>
  <si>
    <t>P-06</t>
  </si>
  <si>
    <t>Parlantes USB</t>
  </si>
  <si>
    <t>V-06</t>
  </si>
  <si>
    <t>Diego Vargas</t>
  </si>
  <si>
    <t>P-07</t>
  </si>
  <si>
    <t>Silla Gamer</t>
  </si>
  <si>
    <t>V-07</t>
  </si>
  <si>
    <t>Natalia Chinchilla</t>
  </si>
  <si>
    <t>P-08</t>
  </si>
  <si>
    <t>Escritorio Ajustable</t>
  </si>
  <si>
    <t>V-08</t>
  </si>
  <si>
    <t>Josué Salas</t>
  </si>
  <si>
    <t>P-09</t>
  </si>
  <si>
    <t>Tablet 10"</t>
  </si>
  <si>
    <t>P-10</t>
  </si>
  <si>
    <t>Impresora Multifuncional</t>
  </si>
  <si>
    <t>P-11</t>
  </si>
  <si>
    <t>Router WiFi 6</t>
  </si>
  <si>
    <t>P-12</t>
  </si>
  <si>
    <t>Disco SSD 1TB</t>
  </si>
  <si>
    <t>Sale No.</t>
  </si>
  <si>
    <t>Date</t>
  </si>
  <si>
    <t>Seller Code</t>
  </si>
  <si>
    <t>Product Code</t>
  </si>
  <si>
    <t>Quantity</t>
  </si>
  <si>
    <t>Total Amount</t>
  </si>
  <si>
    <t>Total Sold</t>
  </si>
  <si>
    <t>Met Quota</t>
  </si>
  <si>
    <t>Performance Level</t>
  </si>
  <si>
    <t>Sellers who met the quota:</t>
  </si>
  <si>
    <t>Highest sale recorded</t>
  </si>
  <si>
    <t>Lowest sale recorded</t>
  </si>
  <si>
    <t>Average sale per transaction</t>
  </si>
  <si>
    <t>Highest total sold among sellers</t>
  </si>
  <si>
    <t>Lowest total sold among sellers</t>
  </si>
  <si>
    <t>Number of sellers evaluated</t>
  </si>
  <si>
    <t>METHODOLOGY</t>
  </si>
  <si>
    <t>Functions and tools applied:</t>
  </si>
  <si>
    <t>Aryen Gabriel Arauz Castillo</t>
  </si>
  <si>
    <t>TOTAL INVOICED:</t>
  </si>
  <si>
    <t>Sum of Total Amount</t>
  </si>
  <si>
    <t>These tables serve as helpers and guides and are not modified.</t>
  </si>
  <si>
    <t>Table 1: Contains the product code, name and price.</t>
  </si>
  <si>
    <t>Table 2: Contains the seller's code, name, region and monthly quota. Sellers are later evaluated on their performance against their quota and filtered by code or region.</t>
  </si>
  <si>
    <t>Case: Technology retail company (fictitious data); TechnoCell</t>
  </si>
  <si>
    <t>Sales data</t>
  </si>
  <si>
    <t>DASHBOARD — TechnoCell</t>
  </si>
  <si>
    <t>These indicators are calculated automatically. They will vary according to your data.</t>
  </si>
  <si>
    <t>1. Lookup: VLOOKUP, IFERROR</t>
  </si>
  <si>
    <t>2. Conditionals: IF, nested IF, COUNTIF, SUMIF</t>
  </si>
  <si>
    <t>3. Statistics: AVERAGE, MAX, MIN, COUNT</t>
  </si>
  <si>
    <t>5. Conditional formatting and data validation</t>
  </si>
  <si>
    <t>6. Professional formatting and dashboard design</t>
  </si>
  <si>
    <t>7. Data filters in a table</t>
  </si>
  <si>
    <t xml:space="preserve">A synthetic dataset was designed for a fictitious technology company (TechnoCell), with a product catalog, a team of 8 sellers and 40 sales transactions. From that dataset, tasks were set up for each sheet, along with the creation of a dashboard that consolidates the results automatically. </t>
  </si>
  <si>
    <t>8. Pivot tables</t>
  </si>
  <si>
    <t>9. Pivot charts</t>
  </si>
  <si>
    <t>Seller data (Code, name, region and quota are fixed)</t>
  </si>
  <si>
    <t>Inserted a pivot table and pivot chart, plus a data slicer.</t>
  </si>
  <si>
    <t>Master Data</t>
  </si>
  <si>
    <t>Holds the reference tables that feed the whole workbook. Table 1 is the product catalog (12 products with code, name and unit price) and Table 2 is the seller list (8 sellers with code, name, region and monthly quota). They are fixed and never modified; every lookup formula in the other sheets points to them.</t>
  </si>
  <si>
    <t>Sales Sheet</t>
  </si>
  <si>
    <t>Sales log with 40 transactions between June and August 2026 (sale number, date, seller code, product code and quantity). The product name and unit price are retrieved from Master Data with VLOOKUP using an exact match on the product code; the seller's region is retrieved the same way from the seller code; and the total amount is quantity × unit price. Every lookup is wrapped in IFERROR so an unknown code shows a blank cell instead of an error. TOTAL INVOICED adds up all the amounts with SUM (₡20,904,000), and a filter is applied to the table headers.</t>
  </si>
  <si>
    <t>Pivot Table</t>
  </si>
  <si>
    <t>Dashboard</t>
  </si>
  <si>
    <t>Summary of four indicators linked by formulas to the other sheets: total invoiced (Sales Sheet), highest sale and average per transaction (Performance Level) and number of sellers who met the quota (Performance Level). They update automatically whenever the source data changes.</t>
  </si>
  <si>
    <t>4. Data slicers</t>
  </si>
  <si>
    <t>10.  Simple charts</t>
  </si>
  <si>
    <r>
      <rPr>
        <b/>
        <sz val="10"/>
        <rFont val="Arial"/>
        <family val="2"/>
      </rPr>
      <t>Project objective:</t>
    </r>
    <r>
      <rPr>
        <sz val="9"/>
        <rFont val="Arial"/>
        <family val="2"/>
      </rPr>
      <t xml:space="preserve">
To demonstrate command of Excel functions (lookup, conditional, statistical, conditional formatting, data validation and pivot tables) by solving a simulated business case: tracking the sales, quotas and performance of a fictitious technology company.
Each tab includes synthetic starting data; the goal is to achieve command of Excel tools (intermediate level) by filling in tables with formulas dynamically, filtering data and validating it.</t>
    </r>
  </si>
  <si>
    <t>Pivot table built from the Sales Sheet data seller code in Rows and the sum of Total Amount in Values, which gives each seller's sales and a grand total of ₡20,904,000 that matches the Sales Sheet. A Region slicer filters the table interactively and a pivot column chart displays the result.</t>
  </si>
  <si>
    <t>Evaluates each of the 8 sellers against their monthly quota. Total sold comes from SUMIF over the Sales Sheet amounts (matching on seller code); quota compliance uses IF (Yes/No); and the performance level uses a nested IF (High when the quota is exceeded, otherwise Medium [70%] or Low). COUNTIF counts the sellers who met the quota (4 of 8). A second block summarizes the sales data with MAX, MIN, AVERAGE and COUNTA: highest sale ₡3,600,000, lowest sale ₡12,000, average per transaction ₡522,600, highest and lowest seller totals of ₡6,125,000 and ₡654,000, and 8 sellers evaluated. A column chart compares each seller's monthly quota with the total sold.</t>
  </si>
  <si>
    <t>GUANACASTE</t>
  </si>
  <si>
    <t>PUNTARENAS</t>
  </si>
  <si>
    <t>ZONA SUR</t>
  </si>
  <si>
    <t>11. Data validation</t>
  </si>
  <si>
    <t>12. Conditional format</t>
  </si>
  <si>
    <t>Description</t>
  </si>
  <si>
    <t>Suma de Quantity</t>
  </si>
  <si>
    <t>Etiquetas de fila</t>
  </si>
  <si>
    <t>Total general</t>
  </si>
  <si>
    <t>Total invoiced</t>
  </si>
  <si>
    <t>Highest sale</t>
  </si>
  <si>
    <t>Average per trans</t>
  </si>
  <si>
    <t>Met the quota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</si>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</sst>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
    <numFmt numFmtId="165" formatCode="dd/mm/yyyy"/>
    <numFmt numFmtId="166" formatCode="_-* #,##0_-;\-* #,##0_-;_-* &quot;-&quot;??_-;_-@_-"/>
  </numFmts>
  <fonts count="23" x14ac:knownFonts="1">
    <font>
      <sz val="11"/>
      <color theme="1"/>
      <name val="Calibri"/>
      <family val="2"/>
      <charset val="1"/>
    </font>
    <font>
      <sz val="10"/>
      <name val="Arial"/>
      <family val="2"/>
    </font>
    <font>
      <b/>
      <sz val="16"/>
      <color rgb="FFFFFFFF"/>
      <name val="Arial"/>
      <family val="2"/>
    </font>
    <font>
      <b/>
      <sz val="13"/>
      <color rgb="FF1F4E78"/>
      <name val="Arial"/>
      <family val="2"/>
    </font>
    <font>
      <b/>
      <sz val="10"/>
      <name val="Arial"/>
      <family val="2"/>
    </font>
    <font>
      <sz val="10"/>
      <name val="Arial"/>
      <family val="2"/>
    </font>
    <font>
      <b/>
      <sz val="10"/>
      <color rgb="FFFFFFFF"/>
      <name val="Arial"/>
      <family val="2"/>
    </font>
    <font>
      <b/>
      <sz val="12"/>
      <color rgb="FF1F4E78"/>
      <name val="Arial"/>
      <family val="2"/>
    </font>
    <font>
      <sz val="9"/>
      <name val="Arial"/>
      <family val="2"/>
    </font>
    <font>
      <b/>
      <sz val="10"/>
      <name val="Arial"/>
      <family val="2"/>
    </font>
    <font>
      <b/>
      <sz val="13"/>
      <color rgb="FF1F4E78"/>
      <name val="Arial"/>
      <family val="2"/>
    </font>
    <font>
      <sz val="10"/>
      <name val="Arial"/>
      <family val="2"/>
    </font>
    <font>
      <b/>
      <sz val="10"/>
      <color rgb="FFFFFFFF"/>
      <name val="Arial"/>
      <family val="2"/>
    </font>
    <font>
      <sz val="11"/>
      <color rgb="FFFF0000"/>
      <name val="Calibri"/>
      <family val="2"/>
    </font>
    <font>
      <sz val="11"/>
      <color rgb="FFFF0000"/>
      <name val="Calibri"/>
      <family val="2"/>
      <charset val="1"/>
    </font>
    <font>
      <b/>
      <sz val="10"/>
      <color theme="0"/>
      <name val="Arial"/>
      <family val="2"/>
    </font>
    <font>
      <sz val="10"/>
      <color rgb="FFFF0000"/>
      <name val="Arial"/>
      <family val="2"/>
    </font>
    <font>
      <b/>
      <sz val="11"/>
      <color theme="0"/>
      <name val="Arial"/>
      <family val="2"/>
    </font>
    <font>
      <b/>
      <sz val="16"/>
      <color rgb="FFFFFFFF"/>
      <name val="Arial"/>
      <family val="2"/>
    </font>
    <font>
      <b/>
      <sz val="26"/>
      <color rgb="FF1F4E78"/>
      <name val="Arial"/>
      <family val="2"/>
    </font>
    <font>
      <sz val="10"/>
      <color theme="1"/>
      <name val="Calibri"/>
      <family val="2"/>
      <charset val="1"/>
    </font>
    <font>
      <sz val="10"/>
      <color theme="1"/>
      <name val="Arial"/>
      <family val="2"/>
    </font>
    <font>
      <b/>
      <sz val="14"/>
      <name val="Arial"/>
      <family val="2"/>
    </font>
  </fonts>
  <fills count="12">
    <fill>
      <patternFill patternType="none"/>
    </fill>
    <fill>
      <patternFill patternType="gray125"/>
    </fill>
    <fill>
      <patternFill patternType="solid">
        <fgColor rgb="FF1F4E78"/>
        <bgColor rgb="FF003366"/>
      </patternFill>
    </fill>
    <fill>
      <patternFill patternType="solid">
        <fgColor rgb="FFDDEBF7"/>
        <bgColor rgb="FFE2EFDA"/>
      </patternFill>
    </fill>
    <fill>
      <patternFill patternType="solid">
        <fgColor rgb="FF2E75B6"/>
        <bgColor rgb="FF0066CC"/>
      </patternFill>
    </fill>
    <fill>
      <patternFill patternType="solid">
        <fgColor rgb="FFF2F2F2"/>
        <bgColor rgb="FFE2EFDA"/>
      </patternFill>
    </fill>
    <fill>
      <patternFill patternType="solid">
        <fgColor theme="0"/>
        <bgColor rgb="FFE2EFDA"/>
      </patternFill>
    </fill>
    <fill>
      <patternFill patternType="solid">
        <fgColor theme="0"/>
        <bgColor rgb="FFF2F2F2"/>
      </patternFill>
    </fill>
    <fill>
      <patternFill patternType="solid">
        <fgColor theme="0"/>
        <bgColor indexed="64"/>
      </patternFill>
    </fill>
    <fill>
      <patternFill patternType="solid">
        <fgColor theme="3"/>
        <bgColor indexed="64"/>
      </patternFill>
    </fill>
    <fill>
      <patternFill patternType="solid">
        <fgColor theme="4"/>
        <bgColor indexed="64"/>
      </patternFill>
    </fill>
    <fill>
      <patternFill patternType="solid">
        <fgColor theme="0"/>
        <bgColor rgb="FFDDEBF7"/>
      </patternFill>
    </fill>
  </fills>
  <borders count="10">
    <border>
      <left/>
      <right/>
      <top/>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rgb="FFBFBFBF"/>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right/>
      <top/>
      <bottom style="thin">
        <color indexed="64"/>
      </bottom>
      <diagonal/>
    </border>
  </borders>
  <cellStyleXfs count="2">
    <xf numFmtId="0" fontId="0" fillId="0" borderId="0"/>
    <xf numFmtId="43" fontId="1" fillId="0" borderId="0" applyBorder="0" applyAlignment="0" applyProtection="0"/>
  </cellStyleXfs>
  <cellXfs count="60">
    <xf numFmtId="0" fontId="0" fillId="0" borderId="0" xfId="0"/>
    <xf numFmtId="0" fontId="4" fillId="0" borderId="0" xfId="0" applyFont="1"/>
    <xf numFmtId="0" fontId="6" fillId="4" borderId="3" xfId="0" applyFont="1" applyFill="1" applyBorder="1" applyAlignment="1">
      <alignment horizontal="center" vertical="center"/>
    </xf>
    <xf numFmtId="0" fontId="5" fillId="0" borderId="3" xfId="0" applyFont="1" applyBorder="1"/>
    <xf numFmtId="164" fontId="5" fillId="0" borderId="3" xfId="0" applyNumberFormat="1" applyFont="1" applyBorder="1"/>
    <xf numFmtId="165" fontId="5" fillId="0" borderId="3" xfId="0" applyNumberFormat="1" applyFont="1" applyBorder="1"/>
    <xf numFmtId="0" fontId="4" fillId="5" borderId="3" xfId="0" applyFont="1" applyFill="1" applyBorder="1"/>
    <xf numFmtId="164" fontId="7" fillId="5" borderId="3" xfId="0" applyNumberFormat="1" applyFont="1" applyFill="1" applyBorder="1"/>
    <xf numFmtId="1" fontId="7" fillId="5" borderId="3" xfId="0" applyNumberFormat="1" applyFont="1" applyFill="1" applyBorder="1"/>
    <xf numFmtId="0" fontId="11" fillId="0" borderId="0" xfId="0" applyFont="1"/>
    <xf numFmtId="0" fontId="0" fillId="0" borderId="0" xfId="0" pivotButton="1"/>
    <xf numFmtId="0" fontId="0" fillId="0" borderId="0" xfId="0" applyAlignment="1">
      <alignment horizontal="left"/>
    </xf>
    <xf numFmtId="164" fontId="0" fillId="0" borderId="0" xfId="0" applyNumberFormat="1"/>
    <xf numFmtId="0" fontId="12" fillId="4" borderId="1" xfId="0" applyFont="1" applyFill="1" applyBorder="1" applyAlignment="1">
      <alignment horizontal="center" vertical="center"/>
    </xf>
    <xf numFmtId="0" fontId="0" fillId="0" borderId="5" xfId="0" applyBorder="1"/>
    <xf numFmtId="0" fontId="13" fillId="0" borderId="0" xfId="0" applyFont="1"/>
    <xf numFmtId="0" fontId="9" fillId="8" borderId="0" xfId="0" applyFont="1" applyFill="1"/>
    <xf numFmtId="0" fontId="4" fillId="8" borderId="0" xfId="0" applyFont="1" applyFill="1"/>
    <xf numFmtId="164" fontId="5" fillId="0" borderId="2" xfId="0" applyNumberFormat="1" applyFont="1" applyBorder="1"/>
    <xf numFmtId="0" fontId="11" fillId="0" borderId="3" xfId="0" applyFont="1" applyBorder="1"/>
    <xf numFmtId="0" fontId="9" fillId="7" borderId="7" xfId="0" applyFont="1" applyFill="1" applyBorder="1"/>
    <xf numFmtId="164" fontId="5" fillId="11" borderId="3" xfId="0" applyNumberFormat="1" applyFont="1" applyFill="1" applyBorder="1"/>
    <xf numFmtId="164" fontId="5" fillId="7" borderId="3" xfId="0" applyNumberFormat="1" applyFont="1" applyFill="1" applyBorder="1"/>
    <xf numFmtId="166" fontId="1" fillId="8" borderId="3" xfId="1" applyNumberFormat="1" applyFill="1" applyBorder="1"/>
    <xf numFmtId="0" fontId="19" fillId="0" borderId="0" xfId="0" applyFont="1"/>
    <xf numFmtId="0" fontId="20" fillId="0" borderId="0" xfId="0" applyFont="1"/>
    <xf numFmtId="0" fontId="1" fillId="0" borderId="0" xfId="0" applyFont="1"/>
    <xf numFmtId="0" fontId="21" fillId="0" borderId="0" xfId="0" applyFont="1"/>
    <xf numFmtId="0" fontId="22" fillId="0" borderId="0" xfId="0" applyFont="1"/>
    <xf numFmtId="0" fontId="5" fillId="6" borderId="0" xfId="0" applyFont="1" applyFill="1" applyAlignment="1">
      <alignment vertical="top" wrapText="1"/>
    </xf>
    <xf numFmtId="0" fontId="10" fillId="0" borderId="0" xfId="0" applyFont="1"/>
    <xf numFmtId="0" fontId="9" fillId="0" borderId="0" xfId="0" applyFont="1"/>
    <xf numFmtId="0" fontId="8" fillId="0" borderId="0" xfId="0" applyFont="1" applyAlignment="1">
      <alignment vertical="center" wrapText="1"/>
    </xf>
    <xf numFmtId="0" fontId="18" fillId="0" borderId="0" xfId="0" applyFont="1" applyAlignment="1">
      <alignment vertical="center"/>
    </xf>
    <xf numFmtId="0" fontId="15" fillId="0" borderId="0" xfId="0" applyFont="1"/>
    <xf numFmtId="0" fontId="8" fillId="0" borderId="0" xfId="0" applyFont="1" applyAlignment="1">
      <alignment horizontal="center" vertical="center" wrapText="1"/>
    </xf>
    <xf numFmtId="0" fontId="0" fillId="0" borderId="9" xfId="0" applyBorder="1"/>
    <xf numFmtId="0" fontId="15" fillId="10" borderId="8" xfId="0" applyFont="1" applyFill="1" applyBorder="1" applyAlignment="1">
      <alignment horizontal="center"/>
    </xf>
    <xf numFmtId="0" fontId="15" fillId="10" borderId="0" xfId="0" applyFont="1" applyFill="1" applyAlignment="1">
      <alignment horizontal="center"/>
    </xf>
    <xf numFmtId="0" fontId="8" fillId="3" borderId="0" xfId="0" applyFont="1" applyFill="1" applyAlignment="1">
      <alignment horizontal="center" vertical="center" wrapText="1"/>
    </xf>
    <xf numFmtId="0" fontId="18" fillId="2" borderId="0" xfId="0" applyFont="1" applyFill="1" applyAlignment="1">
      <alignment horizontal="center" vertical="center"/>
    </xf>
    <xf numFmtId="0" fontId="2" fillId="2" borderId="0" xfId="0" applyFont="1" applyFill="1" applyAlignment="1">
      <alignment horizontal="center" vertical="center"/>
    </xf>
    <xf numFmtId="0" fontId="8" fillId="3" borderId="0" xfId="0" applyFont="1" applyFill="1" applyAlignment="1">
      <alignment horizontal="center" vertical="top" wrapText="1"/>
    </xf>
    <xf numFmtId="0" fontId="11"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3" fillId="0" borderId="6" xfId="0" applyFont="1" applyBorder="1" applyAlignment="1">
      <alignment horizontal="left"/>
    </xf>
    <xf numFmtId="0" fontId="16" fillId="0" borderId="0" xfId="0" applyFont="1" applyAlignment="1">
      <alignment horizontal="center"/>
    </xf>
    <xf numFmtId="0" fontId="14" fillId="0" borderId="0" xfId="0" applyFont="1" applyAlignment="1">
      <alignment horizontal="center" wrapText="1"/>
    </xf>
    <xf numFmtId="0" fontId="16" fillId="0" borderId="0" xfId="0" applyFont="1" applyAlignment="1">
      <alignment horizontal="center" wrapText="1"/>
    </xf>
    <xf numFmtId="164" fontId="4" fillId="7" borderId="7" xfId="0" applyNumberFormat="1" applyFont="1" applyFill="1" applyBorder="1" applyAlignment="1">
      <alignment horizontal="center"/>
    </xf>
    <xf numFmtId="0" fontId="15" fillId="10" borderId="7" xfId="0" applyFont="1" applyFill="1" applyBorder="1" applyAlignment="1">
      <alignment horizontal="center"/>
    </xf>
    <xf numFmtId="0" fontId="15" fillId="10" borderId="7" xfId="0" applyFont="1" applyFill="1" applyBorder="1" applyAlignment="1">
      <alignment horizontal="left"/>
    </xf>
    <xf numFmtId="0" fontId="15" fillId="10" borderId="6" xfId="0" applyFont="1" applyFill="1" applyBorder="1" applyAlignment="1">
      <alignment horizontal="center"/>
    </xf>
    <xf numFmtId="0" fontId="17" fillId="9" borderId="7"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top" wrapText="1"/>
    </xf>
    <xf numFmtId="0" fontId="11" fillId="3" borderId="1"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0" fillId="0" borderId="0" xfId="0" applyNumberFormat="1"/>
    <xf numFmtId="0" fontId="1" fillId="0" borderId="3" xfId="0" applyFont="1" applyBorder="1"/>
  </cellXfs>
  <cellStyles count="2">
    <cellStyle name="Millares" xfId="1" builtinId="3"/>
    <cellStyle name="Normal" xfId="0" builtinId="0"/>
  </cellStyles>
  <dxfs count="9">
    <dxf>
      <font>
        <color rgb="FFFFFFCC"/>
      </font>
    </dxf>
    <dxf>
      <font>
        <color rgb="FF9C0006"/>
      </font>
      <fill>
        <patternFill>
          <bgColor rgb="FFFFC7CE"/>
        </patternFill>
      </fill>
    </dxf>
    <dxf>
      <font>
        <color rgb="FF006100"/>
      </font>
      <fill>
        <patternFill>
          <bgColor rgb="FFC6EFCE"/>
        </patternFill>
      </fill>
    </dxf>
    <dxf>
      <font>
        <color rgb="FF002060"/>
      </font>
      <fill>
        <patternFill>
          <bgColor theme="8" tint="0.79998168889431442"/>
        </patternFill>
      </fill>
    </dxf>
    <dxf>
      <font>
        <color theme="6"/>
      </font>
      <fill>
        <patternFill>
          <bgColor theme="6" tint="0.79998168889431442"/>
        </patternFill>
      </fill>
    </dxf>
    <dxf>
      <font>
        <color rgb="FF9C0006"/>
      </font>
      <fill>
        <patternFill>
          <bgColor rgb="FFFFC7CE"/>
        </patternFill>
      </fill>
    </dxf>
    <dxf>
      <font>
        <color theme="7" tint="-0.499984740745262"/>
      </font>
      <fill>
        <patternFill>
          <bgColor theme="7" tint="0.79998168889431442"/>
        </patternFill>
      </fill>
    </dxf>
    <dxf>
      <font>
        <color theme="6" tint="-0.499984740745262"/>
      </font>
      <fill>
        <patternFill>
          <bgColor theme="6" tint="0.79998168889431442"/>
        </patternFill>
      </fill>
    </dxf>
    <dxf>
      <font>
        <color theme="5" tint="-0.24994659260841701"/>
      </font>
      <fill>
        <patternFill>
          <bgColor theme="5" tint="0.7999816888943144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[Portfolio_Intermediate_Excel_Aryen_Arauz.xlsx]Dashboard!TablaDinámica5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Seller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R"/>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Dashboard!$C$17</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Dashboard!$B$18:$B$26</c:f>
              <c:strCache>
                <c:ptCount val="8"/>
                <c:pt idx="0">
                  <c:v>V-01</c:v>
                </c:pt>
                <c:pt idx="1">
                  <c:v>V-02</c:v>
                </c:pt>
                <c:pt idx="2">
                  <c:v>V-03</c:v>
                </c:pt>
                <c:pt idx="3">
                  <c:v>V-04</c:v>
                </c:pt>
                <c:pt idx="4">
                  <c:v>V-05</c:v>
                </c:pt>
                <c:pt idx="5">
                  <c:v>V-06</c:v>
                </c:pt>
                <c:pt idx="6">
                  <c:v>V-07</c:v>
                </c:pt>
                <c:pt idx="7">
                  <c:v>V-08</c:v>
                </c:pt>
              </c:strCache>
            </c:strRef>
          </c:cat>
          <c:val>
            <c:numRef>
              <c:f>Dashboard!$C$18:$C$26</c:f>
              <c:numCache>
                <c:formatCode>\₡#\ ##0</c:formatCode>
                <c:ptCount val="8"/>
                <c:pt idx="0">
                  <c:v>1220000</c:v>
                </c:pt>
                <c:pt idx="1">
                  <c:v>4650000</c:v>
                </c:pt>
                <c:pt idx="2">
                  <c:v>654000</c:v>
                </c:pt>
                <c:pt idx="3">
                  <c:v>1136000</c:v>
                </c:pt>
                <c:pt idx="4">
                  <c:v>6125000</c:v>
                </c:pt>
                <c:pt idx="5">
                  <c:v>3379000</c:v>
                </c:pt>
                <c:pt idx="6">
                  <c:v>2205000</c:v>
                </c:pt>
                <c:pt idx="7">
                  <c:v>1535000</c:v>
                </c:pt>
              </c:numCache>
            </c:numRef>
          </c:val>
          <c:extLst>
            <c:ext xmlns:c16="http://schemas.microsoft.com/office/drawing/2014/chart" uri="{C3380CC4-5D6E-409C-BE32-E72D297353CC}">
              <c16:uniqueId val="{00000000-2EB7-45A0-9AC2-422CD9A74A52}"/>
            </c:ext>
          </c:extLst>
        </c:ser>
        <c:dLbls>
          <c:showLegendKey val="0"/>
          <c:showVal val="0"/>
          <c:showCatName val="0"/>
          <c:showSerName val="0"/>
          <c:showPercent val="0"/>
          <c:showBubbleSize val="0"/>
        </c:dLbls>
        <c:gapWidth val="115"/>
        <c:overlap val="-20"/>
        <c:axId val="303860623"/>
        <c:axId val="332618031"/>
      </c:barChart>
      <c:catAx>
        <c:axId val="3038606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332618031"/>
        <c:crosses val="autoZero"/>
        <c:auto val="1"/>
        <c:lblAlgn val="ctr"/>
        <c:lblOffset val="100"/>
        <c:noMultiLvlLbl val="0"/>
      </c:catAx>
      <c:valAx>
        <c:axId val="332618031"/>
        <c:scaling>
          <c:orientation val="minMax"/>
        </c:scaling>
        <c:delete val="0"/>
        <c:axPos val="b"/>
        <c:majorGridlines>
          <c:spPr>
            <a:ln w="9525" cap="flat" cmpd="sng" algn="ctr">
              <a:solidFill>
                <a:schemeClr val="lt1">
                  <a:lumMod val="95000"/>
                  <a:alpha val="10000"/>
                </a:schemeClr>
              </a:solidFill>
              <a:round/>
            </a:ln>
            <a:effectLst/>
          </c:spPr>
        </c:majorGridlines>
        <c:numFmt formatCode="\₡#\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30386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[Portfolio_Intermediate_Excel_Aryen_Arauz.xlsx]Dashboard!TablaDinámica8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Dashboard!$C$47</c:f>
              <c:strCache>
                <c:ptCount val="1"/>
                <c:pt idx="0">
                  <c:v>Total</c:v>
                </c:pt>
              </c:strCache>
            </c:strRef>
          </c:tx>
          <c:spPr>
            <a:solidFill>
              <a:schemeClr val="accent1"/>
            </a:solidFill>
            <a:ln>
              <a:noFill/>
            </a:ln>
            <a:effectLst/>
          </c:spPr>
          <c:invertIfNegative val="0"/>
          <c:cat>
            <c:strRef>
              <c:f>Dashboard!$B$48:$B$60</c:f>
              <c:strCache>
                <c:ptCount val="12"/>
                <c:pt idx="0">
                  <c:v>Audífonos Bluetooth</c:v>
                </c:pt>
                <c:pt idx="1">
                  <c:v>Disco SSD 1TB</c:v>
                </c:pt>
                <c:pt idx="2">
                  <c:v>Escritorio Ajustable</c:v>
                </c:pt>
                <c:pt idx="3">
                  <c:v>Impresora Multifuncional</c:v>
                </c:pt>
                <c:pt idx="4">
                  <c:v>Laptop 15"</c:v>
                </c:pt>
                <c:pt idx="5">
                  <c:v>Monitor 24"</c:v>
                </c:pt>
                <c:pt idx="6">
                  <c:v>Mouse Inalámbrico</c:v>
                </c:pt>
                <c:pt idx="7">
                  <c:v>Parlantes USB</c:v>
                </c:pt>
                <c:pt idx="8">
                  <c:v>Router WiFi 6</c:v>
                </c:pt>
                <c:pt idx="9">
                  <c:v>Silla Gamer</c:v>
                </c:pt>
                <c:pt idx="10">
                  <c:v>Tablet 10"</c:v>
                </c:pt>
                <c:pt idx="11">
                  <c:v>Teclado Mecánico</c:v>
                </c:pt>
              </c:strCache>
            </c:strRef>
          </c:cat>
          <c:val>
            <c:numRef>
              <c:f>Dashboard!$C$48:$C$60</c:f>
              <c:numCache>
                <c:formatCode>General</c:formatCode>
                <c:ptCount val="12"/>
                <c:pt idx="0">
                  <c:v>2</c:v>
                </c:pt>
                <c:pt idx="1">
                  <c:v>9</c:v>
                </c:pt>
                <c:pt idx="2">
                  <c:v>2</c:v>
                </c:pt>
                <c:pt idx="3">
                  <c:v>26</c:v>
                </c:pt>
                <c:pt idx="4">
                  <c:v>20</c:v>
                </c:pt>
                <c:pt idx="5">
                  <c:v>16</c:v>
                </c:pt>
                <c:pt idx="6">
                  <c:v>21</c:v>
                </c:pt>
                <c:pt idx="7">
                  <c:v>11</c:v>
                </c:pt>
                <c:pt idx="8">
                  <c:v>27</c:v>
                </c:pt>
                <c:pt idx="9">
                  <c:v>20</c:v>
                </c:pt>
                <c:pt idx="10">
                  <c:v>7</c:v>
                </c:pt>
                <c:pt idx="11">
                  <c:v>8</c:v>
                </c:pt>
              </c:numCache>
            </c:numRef>
          </c:val>
          <c:extLst>
            <c:ext xmlns:c16="http://schemas.microsoft.com/office/drawing/2014/chart" uri="{C3380CC4-5D6E-409C-BE32-E72D297353CC}">
              <c16:uniqueId val="{00000000-409B-4D9F-A142-AA73B6D0D18D}"/>
            </c:ext>
          </c:extLst>
        </c:ser>
        <c:dLbls>
          <c:showLegendKey val="0"/>
          <c:showVal val="0"/>
          <c:showCatName val="0"/>
          <c:showSerName val="0"/>
          <c:showPercent val="0"/>
          <c:showBubbleSize val="0"/>
        </c:dLbls>
        <c:gapWidth val="182"/>
        <c:axId val="972915984"/>
        <c:axId val="969079152"/>
      </c:barChart>
      <c:catAx>
        <c:axId val="97291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969079152"/>
        <c:crosses val="autoZero"/>
        <c:auto val="1"/>
        <c:lblAlgn val="ctr"/>
        <c:lblOffset val="100"/>
        <c:noMultiLvlLbl val="0"/>
      </c:catAx>
      <c:valAx>
        <c:axId val="96907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97291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3</xdr:col>
      <xdr:colOff>289559</xdr:colOff>
      <xdr:row>15</xdr:row>
      <xdr:rowOff>173355</xdr:rowOff>
    </xdr:from>
    <xdr:to>
      <xdr:col>5</xdr:col>
      <xdr:colOff>20955</xdr:colOff>
      <xdr:row>25</xdr:row>
      <xdr:rowOff>169545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8D59E3C-431F-00E9-2B75-061981D4DCA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61384" y="3049905"/>
              <a:ext cx="2737486" cy="1815465"/>
            </a:xfrm>
            <a:prstGeom prst="rect">
              <a:avLst/>
            </a:prstGeom>
            <a:solidFill>
              <a:prstClr val="white"/>
            </a:solidFill>
            <a:ln w="1">
              <a:solidFill>
                <a:prstClr val="green"/>
              </a:solidFill>
            </a:ln>
          </xdr:spPr>
          <xdr:txBody>
            <a:bodyPr vertOverflow="clip" horzOverflow="clip"/>
            <a:lstStyle/>
            <a:p>
              <a:r>
                <a:rPr lang="es-C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fLocksWithSheet="0"/>
  </xdr:twoCellAnchor>
  <xdr:twoCellAnchor>
    <xdr:from>
      <xdr:col>0</xdr:col>
      <xdr:colOff>453390</xdr:colOff>
      <xdr:row>26</xdr:row>
      <xdr:rowOff>177165</xdr:rowOff>
    </xdr:from>
    <xdr:to>
      <xdr:col>5</xdr:col>
      <xdr:colOff>72390</xdr:colOff>
      <xdr:row>44</xdr:row>
      <xdr:rowOff>152400</xdr:rowOff>
    </xdr:to>
    <xdr:graphicFrame macro="">
      <xdr:nvGraphicFramePr>
        <xdr:cNvPr id="4" name="Gráfico 3">
          <a:extLst>
            <a:ext uri="{FF2B5EF4-FFF2-40B4-BE49-F238E27FC236}">
              <a16:creationId xmlns:a16="http://schemas.microsoft.com/office/drawing/2014/main" id="{EC0A6E2E-322A-5051-ED76-F8A49FB40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45720</xdr:colOff>
      <xdr:row>61</xdr:row>
      <xdr:rowOff>9525</xdr:rowOff>
    </xdr:from>
    <xdr:to>
      <xdr:col>2</xdr:col>
      <xdr:colOff>287655</xdr:colOff>
      <xdr:row>74</xdr:row>
      <xdr:rowOff>133350</xdr:rowOff>
    </xdr:to>
    <mc:AlternateContent xmlns:mc="http://schemas.openxmlformats.org/markup-compatibility/2006" xmlns:a14="http://schemas.microsoft.com/office/drawing/2010/main">
      <mc:Choice Requires="a14">
        <xdr:graphicFrame macro="">
          <xdr:nvGraphicFramePr>
            <xdr:cNvPr id="11" name="Product Code">
              <a:extLst>
                <a:ext uri="{FF2B5EF4-FFF2-40B4-BE49-F238E27FC236}">
                  <a16:creationId xmlns:a16="http://schemas.microsoft.com/office/drawing/2014/main" id="{1FD2C62C-135E-23FC-0D94-176BF1834FDA}"/>
                </a:ext>
              </a:extLst>
            </xdr:cNvPr>
            <xdr:cNvGraphicFramePr/>
          </xdr:nvGraphicFramePr>
          <xdr:xfrm>
            <a:off x="0" y="0"/>
            <a:ext cx="0" cy="0"/>
          </xdr:xfrm>
          <a:graphic>
            <a:graphicData uri="http://schemas.microsoft.com/office/drawing/2010/slicer">
              <sle:slicer xmlns:sle="http://schemas.microsoft.com/office/drawing/2010/slicer" name="Product Code"/>
            </a:graphicData>
          </a:graphic>
        </xdr:graphicFrame>
      </mc:Choice>
      <mc:Fallback xmlns="">
        <xdr:sp macro="" textlink="">
          <xdr:nvSpPr>
            <xdr:cNvPr id="0" name=""/>
            <xdr:cNvSpPr>
              <a:spLocks noTextEdit="1"/>
            </xdr:cNvSpPr>
          </xdr:nvSpPr>
          <xdr:spPr>
            <a:xfrm>
              <a:off x="514350" y="11222355"/>
              <a:ext cx="1840230" cy="2474595"/>
            </a:xfrm>
            <a:prstGeom prst="rect">
              <a:avLst/>
            </a:prstGeom>
            <a:solidFill>
              <a:prstClr val="white"/>
            </a:solidFill>
            <a:ln w="1">
              <a:solidFill>
                <a:prstClr val="green"/>
              </a:solidFill>
            </a:ln>
          </xdr:spPr>
          <xdr:txBody>
            <a:bodyPr vertOverflow="clip" horzOverflow="clip"/>
            <a:lstStyle/>
            <a:p>
              <a:r>
                <a:rPr lang="es-C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xdr:col>
      <xdr:colOff>36195</xdr:colOff>
      <xdr:row>75</xdr:row>
      <xdr:rowOff>102870</xdr:rowOff>
    </xdr:from>
    <xdr:to>
      <xdr:col>4</xdr:col>
      <xdr:colOff>1343025</xdr:colOff>
      <xdr:row>93</xdr:row>
      <xdr:rowOff>123825</xdr:rowOff>
    </xdr:to>
    <xdr:graphicFrame macro="">
      <xdr:nvGraphicFramePr>
        <xdr:cNvPr id="16" name="Gráfico 15">
          <a:extLst>
            <a:ext uri="{FF2B5EF4-FFF2-40B4-BE49-F238E27FC236}">
              <a16:creationId xmlns:a16="http://schemas.microsoft.com/office/drawing/2014/main" id="{8907491B-CBBB-905E-6B17-B07A0DD49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en Arauz Castillo" refreshedDate="46292.569937152781" createdVersion="8" refreshedVersion="8" minRefreshableVersion="3" recordCount="40" xr:uid="{04B2498C-0CCF-47AF-A8BB-6E71C4908283}">
  <cacheSource type="worksheet">
    <worksheetSource ref="B2:J42" sheet="Sales Sheet"/>
  </cacheSource>
  <cacheFields count="11">
    <cacheField name="Sale No." numFmtId="0">
      <sharedItems containsSemiMixedTypes="0" containsString="0" containsNumber="1" containsInteger="1" minValue="1" maxValue="40"/>
    </cacheField>
    <cacheField name="Date" numFmtId="165">
      <sharedItems containsSemiMixedTypes="0" containsNonDate="0" containsDate="1" containsString="0" minDate="2026-06-05T00:00:00" maxDate="2026-09-01T00:00:00" count="32">
        <d v="2026-07-02T00:00:00"/>
        <d v="2026-08-26T00:00:00"/>
        <d v="2026-06-05T00:00:00"/>
        <d v="2026-06-30T00:00:00"/>
        <d v="2026-08-31T00:00:00"/>
        <d v="2026-08-15T00:00:00"/>
        <d v="2026-08-29T00:00:00"/>
        <d v="2026-06-20T00:00:00"/>
        <d v="2026-06-12T00:00:00"/>
        <d v="2026-07-15T00:00:00"/>
        <d v="2026-08-08T00:00:00"/>
        <d v="2026-08-10T00:00:00"/>
        <d v="2026-08-13T00:00:00"/>
        <d v="2026-06-06T00:00:00"/>
        <d v="2026-07-29T00:00:00"/>
        <d v="2026-07-16T00:00:00"/>
        <d v="2026-07-19T00:00:00"/>
        <d v="2026-08-27T00:00:00"/>
        <d v="2026-06-09T00:00:00"/>
        <d v="2026-06-28T00:00:00"/>
        <d v="2026-06-19T00:00:00"/>
        <d v="2026-08-11T00:00:00"/>
        <d v="2026-08-14T00:00:00"/>
        <d v="2026-06-18T00:00:00"/>
        <d v="2026-06-15T00:00:00"/>
        <d v="2026-07-20T00:00:00"/>
        <d v="2026-08-07T00:00:00"/>
        <d v="2026-08-22T00:00:00"/>
        <d v="2026-07-26T00:00:00"/>
        <d v="2026-07-04T00:00:00"/>
        <d v="2026-08-20T00:00:00"/>
        <d v="2026-08-16T00:00:00"/>
      </sharedItems>
      <fieldGroup par="10"/>
    </cacheField>
    <cacheField name="Seller Code" numFmtId="0">
      <sharedItems count="8">
        <s v="V-02"/>
        <s v="V-04"/>
        <s v="V-01"/>
        <s v="V-07"/>
        <s v="V-05"/>
        <s v="V-06"/>
        <s v="V-08"/>
        <s v="V-03"/>
      </sharedItems>
    </cacheField>
    <cacheField name="Product Code" numFmtId="0">
      <sharedItems count="12">
        <s v="P-01"/>
        <s v="P-03"/>
        <s v="P-10"/>
        <s v="P-02"/>
        <s v="P-09"/>
        <s v="P-04"/>
        <s v="P-06"/>
        <s v="P-07"/>
        <s v="P-11"/>
        <s v="P-12"/>
        <s v="P-05"/>
        <s v="P-08"/>
      </sharedItems>
    </cacheField>
    <cacheField name="Quantity" numFmtId="0">
      <sharedItems containsSemiMixedTypes="0" containsString="0" containsNumber="1" containsInteger="1" minValue="1" maxValue="8" count="8">
        <n v="5"/>
        <n v="2"/>
        <n v="7"/>
        <n v="4"/>
        <n v="8"/>
        <n v="3"/>
        <n v="6"/>
        <n v="1"/>
      </sharedItems>
    </cacheField>
    <cacheField name="Product" numFmtId="0">
      <sharedItems count="12">
        <s v="Laptop 15&quot;"/>
        <s v="Mouse Inalámbrico"/>
        <s v="Impresora Multifuncional"/>
        <s v="Monitor 24&quot;"/>
        <s v="Tablet 10&quot;"/>
        <s v="Teclado Mecánico"/>
        <s v="Parlantes USB"/>
        <s v="Silla Gamer"/>
        <s v="Router WiFi 6"/>
        <s v="Disco SSD 1TB"/>
        <s v="Audífonos Bluetooth"/>
        <s v="Escritorio Ajustable"/>
      </sharedItems>
    </cacheField>
    <cacheField name="Unit Price" numFmtId="164">
      <sharedItems containsSemiMixedTypes="0" containsString="0" containsNumber="1" containsInteger="1" minValue="12000" maxValue="450000"/>
    </cacheField>
    <cacheField name="Total Amount" numFmtId="164">
      <sharedItems containsSemiMixedTypes="0" containsString="0" containsNumber="1" containsInteger="1" minValue="12000" maxValue="3600000" count="34">
        <n v="2250000"/>
        <n v="24000"/>
        <n v="665000"/>
        <n v="380000"/>
        <n v="840000"/>
        <n v="280000"/>
        <n v="1350000"/>
        <n v="225000"/>
        <n v="90000"/>
        <n v="570000"/>
        <n v="3600000"/>
        <n v="360000"/>
        <n v="228000"/>
        <n v="110000"/>
        <n v="56000"/>
        <n v="900000"/>
        <n v="72000"/>
        <n v="190000"/>
        <n v="285000"/>
        <n v="96000"/>
        <n v="152000"/>
        <n v="1800000"/>
        <n v="1440000"/>
        <n v="48000"/>
        <n v="385000"/>
        <n v="180000"/>
        <n v="95000"/>
        <n v="114000"/>
        <n v="760000"/>
        <n v="210000"/>
        <n v="475000"/>
        <n v="120000"/>
        <n v="420000"/>
        <n v="12000"/>
      </sharedItems>
    </cacheField>
    <cacheField name="Region" numFmtId="0">
      <sharedItems count="4">
        <s v="Guanacaste"/>
        <s v="Zona Sur"/>
        <s v="GAM"/>
        <s v="Puntarenas"/>
      </sharedItems>
    </cacheField>
    <cacheField name="Days (Date)" numFmtId="0" databaseField="0">
      <fieldGroup base="1">
        <rangePr groupBy="days" startDate="2026-06-05T00:00:00" endDate="2026-09-01T00:00:00"/>
        <groupItems count="368">
          <s v="&lt;5/6/2026"/>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t"/>
          <s v="2-sept"/>
          <s v="3-sept"/>
          <s v="4-sept"/>
          <s v="5-sept"/>
          <s v="6-sept"/>
          <s v="7-sept"/>
          <s v="8-sept"/>
          <s v="9-sept"/>
          <s v="10-sept"/>
          <s v="11-sept"/>
          <s v="12-sept"/>
          <s v="13-sept"/>
          <s v="14-sept"/>
          <s v="15-sept"/>
          <s v="16-sept"/>
          <s v="17-sept"/>
          <s v="18-sept"/>
          <s v="19-sept"/>
          <s v="20-sept"/>
          <s v="21-sept"/>
          <s v="22-sept"/>
          <s v="23-sept"/>
          <s v="24-sept"/>
          <s v="25-sept"/>
          <s v="26-sept"/>
          <s v="27-sept"/>
          <s v="28-sept"/>
          <s v="29-sept"/>
          <s v="30-sep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1/9/2026"/>
        </groupItems>
      </fieldGroup>
    </cacheField>
    <cacheField name="Months (Date)" numFmtId="0" databaseField="0">
      <fieldGroup base="1">
        <rangePr groupBy="months" startDate="2026-06-05T00:00:00" endDate="2026-09-01T00:00:00"/>
        <groupItems count="14">
          <s v="&lt;5/6/2026"/>
          <s v="ene"/>
          <s v="feb"/>
          <s v="mar"/>
          <s v="abr"/>
          <s v="may"/>
          <s v="jun"/>
          <s v="jul"/>
          <s v="ago"/>
          <s v="sept"/>
          <s v="oct"/>
          <s v="nov"/>
          <s v="dic"/>
          <s v="&gt;1/9/2026"/>
        </groupItems>
      </fieldGroup>
    </cacheField>
  </cacheFields>
  <extLst>
    <ext xmlns:x14="http://schemas.microsoft.com/office/spreadsheetml/2009/9/main" uri="{725AE2AE-9491-48be-B2B4-4EB974FC3084}">
      <x14:pivotCacheDefinition pivotCacheId="14249063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
    <x v="0"/>
    <x v="0"/>
    <x v="0"/>
    <x v="0"/>
    <x v="0"/>
    <n v="450000"/>
    <x v="0"/>
    <x v="0"/>
  </r>
  <r>
    <n v="2"/>
    <x v="1"/>
    <x v="1"/>
    <x v="1"/>
    <x v="1"/>
    <x v="1"/>
    <n v="12000"/>
    <x v="1"/>
    <x v="1"/>
  </r>
  <r>
    <n v="3"/>
    <x v="2"/>
    <x v="0"/>
    <x v="2"/>
    <x v="2"/>
    <x v="2"/>
    <n v="95000"/>
    <x v="2"/>
    <x v="0"/>
  </r>
  <r>
    <n v="4"/>
    <x v="3"/>
    <x v="2"/>
    <x v="3"/>
    <x v="3"/>
    <x v="3"/>
    <n v="95000"/>
    <x v="3"/>
    <x v="2"/>
  </r>
  <r>
    <n v="5"/>
    <x v="4"/>
    <x v="2"/>
    <x v="4"/>
    <x v="3"/>
    <x v="4"/>
    <n v="210000"/>
    <x v="4"/>
    <x v="2"/>
  </r>
  <r>
    <n v="6"/>
    <x v="5"/>
    <x v="3"/>
    <x v="5"/>
    <x v="4"/>
    <x v="5"/>
    <n v="35000"/>
    <x v="5"/>
    <x v="3"/>
  </r>
  <r>
    <n v="7"/>
    <x v="6"/>
    <x v="4"/>
    <x v="0"/>
    <x v="5"/>
    <x v="0"/>
    <n v="450000"/>
    <x v="6"/>
    <x v="2"/>
  </r>
  <r>
    <n v="8"/>
    <x v="7"/>
    <x v="3"/>
    <x v="6"/>
    <x v="0"/>
    <x v="6"/>
    <n v="45000"/>
    <x v="7"/>
    <x v="3"/>
  </r>
  <r>
    <n v="9"/>
    <x v="8"/>
    <x v="1"/>
    <x v="6"/>
    <x v="1"/>
    <x v="6"/>
    <n v="45000"/>
    <x v="8"/>
    <x v="1"/>
  </r>
  <r>
    <n v="10"/>
    <x v="9"/>
    <x v="3"/>
    <x v="3"/>
    <x v="6"/>
    <x v="3"/>
    <n v="95000"/>
    <x v="9"/>
    <x v="3"/>
  </r>
  <r>
    <n v="11"/>
    <x v="10"/>
    <x v="4"/>
    <x v="0"/>
    <x v="4"/>
    <x v="0"/>
    <n v="450000"/>
    <x v="10"/>
    <x v="2"/>
  </r>
  <r>
    <n v="12"/>
    <x v="11"/>
    <x v="0"/>
    <x v="7"/>
    <x v="1"/>
    <x v="7"/>
    <n v="180000"/>
    <x v="11"/>
    <x v="0"/>
  </r>
  <r>
    <n v="13"/>
    <x v="12"/>
    <x v="4"/>
    <x v="8"/>
    <x v="6"/>
    <x v="8"/>
    <n v="38000"/>
    <x v="12"/>
    <x v="2"/>
  </r>
  <r>
    <n v="14"/>
    <x v="13"/>
    <x v="1"/>
    <x v="9"/>
    <x v="1"/>
    <x v="9"/>
    <n v="55000"/>
    <x v="13"/>
    <x v="1"/>
  </r>
  <r>
    <n v="15"/>
    <x v="3"/>
    <x v="1"/>
    <x v="10"/>
    <x v="1"/>
    <x v="10"/>
    <n v="28000"/>
    <x v="14"/>
    <x v="1"/>
  </r>
  <r>
    <n v="16"/>
    <x v="14"/>
    <x v="0"/>
    <x v="7"/>
    <x v="0"/>
    <x v="7"/>
    <n v="180000"/>
    <x v="15"/>
    <x v="0"/>
  </r>
  <r>
    <n v="17"/>
    <x v="15"/>
    <x v="5"/>
    <x v="1"/>
    <x v="6"/>
    <x v="1"/>
    <n v="12000"/>
    <x v="16"/>
    <x v="0"/>
  </r>
  <r>
    <n v="18"/>
    <x v="6"/>
    <x v="1"/>
    <x v="8"/>
    <x v="0"/>
    <x v="8"/>
    <n v="38000"/>
    <x v="17"/>
    <x v="1"/>
  </r>
  <r>
    <n v="19"/>
    <x v="10"/>
    <x v="0"/>
    <x v="2"/>
    <x v="5"/>
    <x v="2"/>
    <n v="95000"/>
    <x v="18"/>
    <x v="0"/>
  </r>
  <r>
    <n v="20"/>
    <x v="16"/>
    <x v="1"/>
    <x v="1"/>
    <x v="4"/>
    <x v="1"/>
    <n v="12000"/>
    <x v="19"/>
    <x v="1"/>
  </r>
  <r>
    <n v="21"/>
    <x v="17"/>
    <x v="4"/>
    <x v="8"/>
    <x v="3"/>
    <x v="8"/>
    <n v="38000"/>
    <x v="20"/>
    <x v="2"/>
  </r>
  <r>
    <n v="22"/>
    <x v="2"/>
    <x v="5"/>
    <x v="0"/>
    <x v="3"/>
    <x v="0"/>
    <n v="450000"/>
    <x v="21"/>
    <x v="0"/>
  </r>
  <r>
    <n v="23"/>
    <x v="18"/>
    <x v="5"/>
    <x v="7"/>
    <x v="0"/>
    <x v="7"/>
    <n v="180000"/>
    <x v="15"/>
    <x v="0"/>
  </r>
  <r>
    <n v="24"/>
    <x v="19"/>
    <x v="1"/>
    <x v="2"/>
    <x v="6"/>
    <x v="2"/>
    <n v="95000"/>
    <x v="9"/>
    <x v="1"/>
  </r>
  <r>
    <n v="25"/>
    <x v="20"/>
    <x v="6"/>
    <x v="7"/>
    <x v="4"/>
    <x v="7"/>
    <n v="180000"/>
    <x v="22"/>
    <x v="1"/>
  </r>
  <r>
    <n v="26"/>
    <x v="21"/>
    <x v="4"/>
    <x v="1"/>
    <x v="3"/>
    <x v="1"/>
    <n v="12000"/>
    <x v="23"/>
    <x v="2"/>
  </r>
  <r>
    <n v="27"/>
    <x v="22"/>
    <x v="4"/>
    <x v="9"/>
    <x v="2"/>
    <x v="9"/>
    <n v="55000"/>
    <x v="24"/>
    <x v="2"/>
  </r>
  <r>
    <n v="28"/>
    <x v="23"/>
    <x v="3"/>
    <x v="6"/>
    <x v="3"/>
    <x v="6"/>
    <n v="45000"/>
    <x v="25"/>
    <x v="3"/>
  </r>
  <r>
    <n v="29"/>
    <x v="24"/>
    <x v="6"/>
    <x v="3"/>
    <x v="7"/>
    <x v="3"/>
    <n v="95000"/>
    <x v="26"/>
    <x v="1"/>
  </r>
  <r>
    <n v="30"/>
    <x v="17"/>
    <x v="7"/>
    <x v="8"/>
    <x v="5"/>
    <x v="8"/>
    <n v="38000"/>
    <x v="27"/>
    <x v="3"/>
  </r>
  <r>
    <n v="31"/>
    <x v="25"/>
    <x v="3"/>
    <x v="2"/>
    <x v="1"/>
    <x v="2"/>
    <n v="95000"/>
    <x v="17"/>
    <x v="3"/>
  </r>
  <r>
    <n v="32"/>
    <x v="26"/>
    <x v="3"/>
    <x v="2"/>
    <x v="4"/>
    <x v="2"/>
    <n v="95000"/>
    <x v="28"/>
    <x v="3"/>
  </r>
  <r>
    <n v="33"/>
    <x v="17"/>
    <x v="4"/>
    <x v="4"/>
    <x v="7"/>
    <x v="4"/>
    <n v="210000"/>
    <x v="29"/>
    <x v="2"/>
  </r>
  <r>
    <n v="34"/>
    <x v="27"/>
    <x v="0"/>
    <x v="8"/>
    <x v="0"/>
    <x v="8"/>
    <n v="38000"/>
    <x v="17"/>
    <x v="0"/>
  </r>
  <r>
    <n v="35"/>
    <x v="28"/>
    <x v="5"/>
    <x v="3"/>
    <x v="0"/>
    <x v="3"/>
    <n v="95000"/>
    <x v="30"/>
    <x v="0"/>
  </r>
  <r>
    <n v="36"/>
    <x v="29"/>
    <x v="7"/>
    <x v="11"/>
    <x v="7"/>
    <x v="11"/>
    <n v="120000"/>
    <x v="31"/>
    <x v="3"/>
  </r>
  <r>
    <n v="37"/>
    <x v="30"/>
    <x v="7"/>
    <x v="4"/>
    <x v="1"/>
    <x v="4"/>
    <n v="210000"/>
    <x v="32"/>
    <x v="3"/>
  </r>
  <r>
    <n v="38"/>
    <x v="7"/>
    <x v="4"/>
    <x v="8"/>
    <x v="3"/>
    <x v="8"/>
    <n v="38000"/>
    <x v="20"/>
    <x v="2"/>
  </r>
  <r>
    <n v="39"/>
    <x v="31"/>
    <x v="5"/>
    <x v="1"/>
    <x v="7"/>
    <x v="1"/>
    <n v="12000"/>
    <x v="33"/>
    <x v="0"/>
  </r>
  <r>
    <n v="40"/>
    <x v="24"/>
    <x v="5"/>
    <x v="11"/>
    <x v="7"/>
    <x v="11"/>
    <n v="120000"/>
    <x v="3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675F3-9A72-4D40-92A9-AF5E656E322B}" name="TablaDinámica8"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B47:C60" firstHeaderRow="1" firstDataRow="1" firstDataCol="1"/>
  <pivotFields count="11">
    <pivotField showAll="0"/>
    <pivotField numFmtId="165" showAll="0">
      <items count="33">
        <item x="2"/>
        <item x="13"/>
        <item x="18"/>
        <item x="8"/>
        <item x="24"/>
        <item x="23"/>
        <item x="20"/>
        <item x="7"/>
        <item x="19"/>
        <item x="3"/>
        <item x="0"/>
        <item x="29"/>
        <item x="9"/>
        <item x="15"/>
        <item x="16"/>
        <item x="25"/>
        <item x="28"/>
        <item x="14"/>
        <item x="26"/>
        <item x="10"/>
        <item x="11"/>
        <item x="21"/>
        <item x="12"/>
        <item x="22"/>
        <item x="5"/>
        <item x="31"/>
        <item x="30"/>
        <item x="27"/>
        <item x="1"/>
        <item x="17"/>
        <item x="6"/>
        <item x="4"/>
        <item t="default"/>
      </items>
    </pivotField>
    <pivotField showAll="0"/>
    <pivotField showAll="0">
      <items count="13">
        <item x="0"/>
        <item x="3"/>
        <item x="1"/>
        <item x="5"/>
        <item x="10"/>
        <item x="6"/>
        <item x="7"/>
        <item x="11"/>
        <item x="4"/>
        <item x="2"/>
        <item x="8"/>
        <item x="9"/>
        <item t="default"/>
      </items>
    </pivotField>
    <pivotField dataField="1" showAll="0">
      <items count="9">
        <item x="7"/>
        <item x="1"/>
        <item x="5"/>
        <item x="3"/>
        <item x="0"/>
        <item x="6"/>
        <item x="2"/>
        <item x="4"/>
        <item t="default"/>
      </items>
    </pivotField>
    <pivotField axis="axisRow" showAll="0">
      <items count="13">
        <item x="10"/>
        <item x="9"/>
        <item x="11"/>
        <item x="2"/>
        <item x="0"/>
        <item x="3"/>
        <item x="1"/>
        <item x="6"/>
        <item x="8"/>
        <item x="7"/>
        <item x="4"/>
        <item x="5"/>
        <item t="default"/>
      </items>
    </pivotField>
    <pivotField numFmtId="164" showAll="0"/>
    <pivotField numFmtId="164" showAll="0">
      <items count="35">
        <item x="33"/>
        <item x="1"/>
        <item x="23"/>
        <item x="14"/>
        <item x="16"/>
        <item x="8"/>
        <item x="26"/>
        <item x="19"/>
        <item x="13"/>
        <item x="27"/>
        <item x="31"/>
        <item x="20"/>
        <item x="25"/>
        <item x="17"/>
        <item x="29"/>
        <item x="7"/>
        <item x="12"/>
        <item x="5"/>
        <item x="18"/>
        <item x="11"/>
        <item x="3"/>
        <item x="24"/>
        <item x="32"/>
        <item x="30"/>
        <item x="9"/>
        <item x="2"/>
        <item x="28"/>
        <item x="4"/>
        <item x="15"/>
        <item x="6"/>
        <item x="22"/>
        <item x="21"/>
        <item x="0"/>
        <item x="1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3">
    <i>
      <x/>
    </i>
    <i>
      <x v="1"/>
    </i>
    <i>
      <x v="2"/>
    </i>
    <i>
      <x v="3"/>
    </i>
    <i>
      <x v="4"/>
    </i>
    <i>
      <x v="5"/>
    </i>
    <i>
      <x v="6"/>
    </i>
    <i>
      <x v="7"/>
    </i>
    <i>
      <x v="8"/>
    </i>
    <i>
      <x v="9"/>
    </i>
    <i>
      <x v="10"/>
    </i>
    <i>
      <x v="11"/>
    </i>
    <i t="grand">
      <x/>
    </i>
  </rowItems>
  <colItems count="1">
    <i/>
  </colItems>
  <dataFields count="1">
    <dataField name="Suma de 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D94C1D-C817-4F24-99DF-C9804DB415DE}" name="TablaDinámica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7:C26" firstHeaderRow="1" firstDataRow="1" firstDataCol="1"/>
  <pivotFields count="11">
    <pivotField showAll="0"/>
    <pivotField numFmtId="165" showAll="0">
      <items count="33">
        <item x="2"/>
        <item x="13"/>
        <item x="18"/>
        <item x="8"/>
        <item x="24"/>
        <item x="23"/>
        <item x="20"/>
        <item x="7"/>
        <item x="19"/>
        <item x="3"/>
        <item x="0"/>
        <item x="29"/>
        <item x="9"/>
        <item x="15"/>
        <item x="16"/>
        <item x="25"/>
        <item x="28"/>
        <item x="14"/>
        <item x="26"/>
        <item x="10"/>
        <item x="11"/>
        <item x="21"/>
        <item x="12"/>
        <item x="22"/>
        <item x="5"/>
        <item x="31"/>
        <item x="30"/>
        <item x="27"/>
        <item x="1"/>
        <item x="17"/>
        <item x="6"/>
        <item x="4"/>
        <item t="default"/>
      </items>
    </pivotField>
    <pivotField axis="axisRow" showAll="0">
      <items count="9">
        <item x="2"/>
        <item x="0"/>
        <item x="7"/>
        <item x="1"/>
        <item x="4"/>
        <item x="5"/>
        <item x="3"/>
        <item x="6"/>
        <item t="default"/>
      </items>
    </pivotField>
    <pivotField showAll="0"/>
    <pivotField showAll="0"/>
    <pivotField showAll="0"/>
    <pivotField numFmtId="164" showAll="0"/>
    <pivotField dataField="1" numFmtId="164" showAll="0"/>
    <pivotField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Sum of Total Amount" fld="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ón" xr10:uid="{B3A85C19-DD90-442F-B202-3A22F05347CB}" sourceName="Region">
  <pivotTables>
    <pivotTable tabId="6" name="TablaDinámica5"/>
  </pivotTables>
  <data>
    <tabular pivotCacheId="1424906300">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_Code" xr10:uid="{E7DA0234-54D5-4A5A-891D-23922AFBC485}" sourceName="Product Code">
  <pivotTables>
    <pivotTable tabId="6" name="TablaDinámica8"/>
  </pivotTables>
  <data>
    <tabular pivotCacheId="1424906300">
      <items count="12">
        <i x="0" s="1"/>
        <i x="3" s="1"/>
        <i x="1" s="1"/>
        <i x="5" s="1"/>
        <i x="10" s="1"/>
        <i x="6" s="1"/>
        <i x="7" s="1"/>
        <i x="11" s="1"/>
        <i x="4" s="1"/>
        <i x="2"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FAF607-9698-4E68-8B0B-C0B44299D155}" cache="SegmentaciónDeDatos_Región" caption="Region" rowHeight="234950"/>
  <slicer name="Product Code" xr10:uid="{CDE11319-0874-46C5-B57F-22C4D9C93908}" cache="SegmentaciónDeDatos_Product_Code" caption="Product Code" startItem="5"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0"/>
  <sheetViews>
    <sheetView showGridLines="0" zoomScaleNormal="100" workbookViewId="0">
      <selection activeCell="B2" sqref="B2:B3"/>
    </sheetView>
  </sheetViews>
  <sheetFormatPr baseColWidth="10" defaultColWidth="8.6640625" defaultRowHeight="14.4" x14ac:dyDescent="0.3"/>
  <cols>
    <col min="1" max="1" width="3" customWidth="1"/>
    <col min="2" max="2" width="90" customWidth="1"/>
  </cols>
  <sheetData>
    <row r="2" spans="2:2" ht="30" customHeight="1" x14ac:dyDescent="0.3">
      <c r="B2" s="41" t="s">
        <v>0</v>
      </c>
    </row>
    <row r="3" spans="2:2" ht="30" customHeight="1" x14ac:dyDescent="0.3">
      <c r="B3" s="41"/>
    </row>
    <row r="5" spans="2:2" ht="16.8" x14ac:dyDescent="0.3">
      <c r="B5" s="30" t="s">
        <v>79</v>
      </c>
    </row>
    <row r="7" spans="2:2" x14ac:dyDescent="0.3">
      <c r="B7" s="31" t="s">
        <v>73</v>
      </c>
    </row>
    <row r="8" spans="2:2" x14ac:dyDescent="0.3">
      <c r="B8" s="9" t="s">
        <v>1</v>
      </c>
    </row>
    <row r="10" spans="2:2" ht="15" customHeight="1" x14ac:dyDescent="0.3">
      <c r="B10" s="42" t="s">
        <v>103</v>
      </c>
    </row>
    <row r="11" spans="2:2" x14ac:dyDescent="0.3">
      <c r="B11" s="42"/>
    </row>
    <row r="12" spans="2:2" x14ac:dyDescent="0.3">
      <c r="B12" s="42"/>
    </row>
    <row r="13" spans="2:2" x14ac:dyDescent="0.3">
      <c r="B13" s="42"/>
    </row>
    <row r="14" spans="2:2" x14ac:dyDescent="0.3">
      <c r="B14" s="42"/>
    </row>
    <row r="15" spans="2:2" x14ac:dyDescent="0.3">
      <c r="B15" s="42"/>
    </row>
    <row r="16" spans="2:2" x14ac:dyDescent="0.3">
      <c r="B16" s="42"/>
    </row>
    <row r="17" spans="2:2" x14ac:dyDescent="0.3">
      <c r="B17" s="42"/>
    </row>
    <row r="18" spans="2:2" x14ac:dyDescent="0.3">
      <c r="B18" s="42"/>
    </row>
    <row r="19" spans="2:2" x14ac:dyDescent="0.3">
      <c r="B19" s="29"/>
    </row>
    <row r="20" spans="2:2" x14ac:dyDescent="0.3">
      <c r="B20" s="29"/>
    </row>
  </sheetData>
  <mergeCells count="2">
    <mergeCell ref="B2:B3"/>
    <mergeCell ref="B10:B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23"/>
  <sheetViews>
    <sheetView showGridLines="0" zoomScaleNormal="100" workbookViewId="0">
      <selection activeCell="L10" sqref="L10"/>
    </sheetView>
  </sheetViews>
  <sheetFormatPr baseColWidth="10" defaultColWidth="8.6640625" defaultRowHeight="14.4" x14ac:dyDescent="0.3"/>
  <cols>
    <col min="1" max="1" width="3" customWidth="1"/>
    <col min="2" max="2" width="10" customWidth="1"/>
    <col min="3" max="3" width="26" customWidth="1"/>
    <col min="4" max="4" width="16" customWidth="1"/>
    <col min="5" max="5" width="4" customWidth="1"/>
    <col min="6" max="6" width="10" customWidth="1"/>
    <col min="7" max="7" width="22" customWidth="1"/>
    <col min="8" max="9" width="14" customWidth="1"/>
  </cols>
  <sheetData>
    <row r="2" spans="2:9" ht="16.8" x14ac:dyDescent="0.3">
      <c r="B2" s="45" t="s">
        <v>2</v>
      </c>
      <c r="C2" s="45"/>
      <c r="D2" s="45"/>
      <c r="E2" s="45"/>
      <c r="F2" s="45"/>
      <c r="G2" s="45"/>
      <c r="H2" s="45"/>
      <c r="I2" s="45"/>
    </row>
    <row r="3" spans="2:9" ht="15" customHeight="1" x14ac:dyDescent="0.3">
      <c r="B3" s="43" t="s">
        <v>76</v>
      </c>
      <c r="C3" s="44"/>
      <c r="D3" s="44"/>
      <c r="E3" s="44"/>
      <c r="F3" s="44"/>
      <c r="G3" s="44"/>
      <c r="H3" s="44"/>
      <c r="I3" s="44"/>
    </row>
    <row r="5" spans="2:9" x14ac:dyDescent="0.3">
      <c r="B5" s="1" t="s">
        <v>3</v>
      </c>
      <c r="F5" s="1" t="s">
        <v>4</v>
      </c>
    </row>
    <row r="6" spans="2:9" x14ac:dyDescent="0.3">
      <c r="B6" s="2" t="s">
        <v>5</v>
      </c>
      <c r="C6" s="2" t="s">
        <v>6</v>
      </c>
      <c r="D6" s="2" t="s">
        <v>7</v>
      </c>
      <c r="F6" s="2" t="s">
        <v>5</v>
      </c>
      <c r="G6" s="2" t="s">
        <v>8</v>
      </c>
      <c r="H6" s="2" t="s">
        <v>9</v>
      </c>
      <c r="I6" s="2" t="s">
        <v>10</v>
      </c>
    </row>
    <row r="7" spans="2:9" x14ac:dyDescent="0.3">
      <c r="B7" s="3" t="s">
        <v>11</v>
      </c>
      <c r="C7" s="3" t="s">
        <v>12</v>
      </c>
      <c r="D7" s="4">
        <v>450000</v>
      </c>
      <c r="F7" s="3" t="s">
        <v>13</v>
      </c>
      <c r="G7" s="3" t="s">
        <v>14</v>
      </c>
      <c r="H7" s="3" t="s">
        <v>15</v>
      </c>
      <c r="I7" s="4">
        <v>1350000</v>
      </c>
    </row>
    <row r="8" spans="2:9" x14ac:dyDescent="0.3">
      <c r="B8" s="3" t="s">
        <v>16</v>
      </c>
      <c r="C8" s="3" t="s">
        <v>17</v>
      </c>
      <c r="D8" s="4">
        <v>95000</v>
      </c>
      <c r="F8" s="3" t="s">
        <v>18</v>
      </c>
      <c r="G8" s="3" t="s">
        <v>19</v>
      </c>
      <c r="H8" s="3" t="s">
        <v>106</v>
      </c>
      <c r="I8" s="4">
        <v>3250000</v>
      </c>
    </row>
    <row r="9" spans="2:9" x14ac:dyDescent="0.3">
      <c r="B9" s="3" t="s">
        <v>21</v>
      </c>
      <c r="C9" s="3" t="s">
        <v>22</v>
      </c>
      <c r="D9" s="4">
        <v>12000</v>
      </c>
      <c r="F9" s="3" t="s">
        <v>23</v>
      </c>
      <c r="G9" s="3" t="s">
        <v>24</v>
      </c>
      <c r="H9" s="3" t="s">
        <v>107</v>
      </c>
      <c r="I9" s="4">
        <v>850000</v>
      </c>
    </row>
    <row r="10" spans="2:9" x14ac:dyDescent="0.3">
      <c r="B10" s="3" t="s">
        <v>26</v>
      </c>
      <c r="C10" s="3" t="s">
        <v>27</v>
      </c>
      <c r="D10" s="4">
        <v>35000</v>
      </c>
      <c r="F10" s="3" t="s">
        <v>28</v>
      </c>
      <c r="G10" s="3" t="s">
        <v>29</v>
      </c>
      <c r="H10" s="3" t="s">
        <v>108</v>
      </c>
      <c r="I10" s="4">
        <v>900000</v>
      </c>
    </row>
    <row r="11" spans="2:9" x14ac:dyDescent="0.3">
      <c r="B11" s="3" t="s">
        <v>31</v>
      </c>
      <c r="C11" s="3" t="s">
        <v>32</v>
      </c>
      <c r="D11" s="4">
        <v>28000</v>
      </c>
      <c r="F11" s="3" t="s">
        <v>33</v>
      </c>
      <c r="G11" s="3" t="s">
        <v>34</v>
      </c>
      <c r="H11" s="3" t="s">
        <v>15</v>
      </c>
      <c r="I11" s="4">
        <v>5500000</v>
      </c>
    </row>
    <row r="12" spans="2:9" x14ac:dyDescent="0.3">
      <c r="B12" s="3" t="s">
        <v>35</v>
      </c>
      <c r="C12" s="3" t="s">
        <v>36</v>
      </c>
      <c r="D12" s="4">
        <v>45000</v>
      </c>
      <c r="F12" s="3" t="s">
        <v>37</v>
      </c>
      <c r="G12" s="3" t="s">
        <v>38</v>
      </c>
      <c r="H12" s="3" t="s">
        <v>106</v>
      </c>
      <c r="I12" s="4">
        <v>4750000</v>
      </c>
    </row>
    <row r="13" spans="2:9" x14ac:dyDescent="0.3">
      <c r="B13" s="3" t="s">
        <v>39</v>
      </c>
      <c r="C13" s="3" t="s">
        <v>40</v>
      </c>
      <c r="D13" s="4">
        <v>180000</v>
      </c>
      <c r="F13" s="3" t="s">
        <v>41</v>
      </c>
      <c r="G13" s="3" t="s">
        <v>42</v>
      </c>
      <c r="H13" s="3" t="s">
        <v>107</v>
      </c>
      <c r="I13" s="4">
        <v>1650000</v>
      </c>
    </row>
    <row r="14" spans="2:9" x14ac:dyDescent="0.3">
      <c r="B14" s="3" t="s">
        <v>43</v>
      </c>
      <c r="C14" s="3" t="s">
        <v>44</v>
      </c>
      <c r="D14" s="4">
        <v>120000</v>
      </c>
      <c r="F14" s="3" t="s">
        <v>45</v>
      </c>
      <c r="G14" s="3" t="s">
        <v>46</v>
      </c>
      <c r="H14" s="3" t="s">
        <v>108</v>
      </c>
      <c r="I14" s="4">
        <v>1850000</v>
      </c>
    </row>
    <row r="15" spans="2:9" x14ac:dyDescent="0.3">
      <c r="B15" s="3" t="s">
        <v>47</v>
      </c>
      <c r="C15" s="3" t="s">
        <v>48</v>
      </c>
      <c r="D15" s="4">
        <v>210000</v>
      </c>
    </row>
    <row r="16" spans="2:9" x14ac:dyDescent="0.3">
      <c r="B16" s="3" t="s">
        <v>49</v>
      </c>
      <c r="C16" s="3" t="s">
        <v>50</v>
      </c>
      <c r="D16" s="4">
        <v>95000</v>
      </c>
      <c r="F16" s="48" t="s">
        <v>78</v>
      </c>
      <c r="G16" s="48"/>
      <c r="H16" s="48"/>
      <c r="I16" s="48"/>
    </row>
    <row r="17" spans="2:9" x14ac:dyDescent="0.3">
      <c r="B17" s="3" t="s">
        <v>51</v>
      </c>
      <c r="C17" s="3" t="s">
        <v>52</v>
      </c>
      <c r="D17" s="4">
        <v>38000</v>
      </c>
      <c r="F17" s="48"/>
      <c r="G17" s="48"/>
      <c r="H17" s="48"/>
      <c r="I17" s="48"/>
    </row>
    <row r="18" spans="2:9" x14ac:dyDescent="0.3">
      <c r="B18" s="3" t="s">
        <v>53</v>
      </c>
      <c r="C18" s="3" t="s">
        <v>54</v>
      </c>
      <c r="D18" s="4">
        <v>55000</v>
      </c>
      <c r="F18" s="48"/>
      <c r="G18" s="48"/>
      <c r="H18" s="48"/>
      <c r="I18" s="48"/>
    </row>
    <row r="20" spans="2:9" x14ac:dyDescent="0.3">
      <c r="B20" s="46" t="s">
        <v>77</v>
      </c>
      <c r="C20" s="46"/>
      <c r="D20" s="46"/>
      <c r="F20" s="15"/>
      <c r="G20" s="15"/>
      <c r="H20" s="15"/>
      <c r="I20" s="15"/>
    </row>
    <row r="22" spans="2:9" x14ac:dyDescent="0.3">
      <c r="B22" s="47"/>
      <c r="C22" s="47"/>
      <c r="D22" s="47"/>
    </row>
    <row r="23" spans="2:9" x14ac:dyDescent="0.3">
      <c r="B23" s="47"/>
      <c r="C23" s="47"/>
      <c r="D23" s="47"/>
    </row>
  </sheetData>
  <mergeCells count="5">
    <mergeCell ref="B3:I3"/>
    <mergeCell ref="B2:I2"/>
    <mergeCell ref="B20:D20"/>
    <mergeCell ref="B22:D23"/>
    <mergeCell ref="F16:I18"/>
  </mergeCells>
  <dataValidations count="1">
    <dataValidation type="list" allowBlank="1" showInputMessage="1" showErrorMessage="1" errorTitle="Error" error="Wrong data in the sheet" promptTitle="Region" prompt="Select the region contained in the list." sqref="H7:H14" xr:uid="{BCC9B0EA-510C-4CC7-840F-FD4AFF385FBE}">
      <formula1>"GAM, GUANACASTE, PUNTARENAS, ZONA SUR"</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44"/>
  <sheetViews>
    <sheetView showGridLines="0" topLeftCell="A19" zoomScaleNormal="100" workbookViewId="0">
      <selection activeCell="I48" sqref="I48"/>
    </sheetView>
  </sheetViews>
  <sheetFormatPr baseColWidth="10" defaultColWidth="8.6640625" defaultRowHeight="14.4" x14ac:dyDescent="0.3"/>
  <cols>
    <col min="1" max="1" width="3" customWidth="1"/>
    <col min="2" max="2" width="11.21875" customWidth="1"/>
    <col min="3" max="3" width="12" customWidth="1"/>
    <col min="4" max="4" width="16.21875" customWidth="1"/>
    <col min="5" max="5" width="15.6640625" customWidth="1"/>
    <col min="6" max="6" width="10.21875" customWidth="1"/>
    <col min="7" max="7" width="24" customWidth="1"/>
    <col min="8" max="9" width="16" customWidth="1"/>
    <col min="10" max="10" width="15.44140625" customWidth="1"/>
  </cols>
  <sheetData>
    <row r="2" spans="2:10" x14ac:dyDescent="0.3">
      <c r="B2" s="2" t="s">
        <v>55</v>
      </c>
      <c r="C2" s="2" t="s">
        <v>56</v>
      </c>
      <c r="D2" s="2" t="s">
        <v>57</v>
      </c>
      <c r="E2" s="2" t="s">
        <v>58</v>
      </c>
      <c r="F2" s="2" t="s">
        <v>59</v>
      </c>
      <c r="G2" s="2" t="s">
        <v>6</v>
      </c>
      <c r="H2" s="2" t="s">
        <v>7</v>
      </c>
      <c r="I2" s="2" t="s">
        <v>60</v>
      </c>
      <c r="J2" s="13" t="s">
        <v>9</v>
      </c>
    </row>
    <row r="3" spans="2:10" x14ac:dyDescent="0.3">
      <c r="B3" s="3">
        <v>1</v>
      </c>
      <c r="C3" s="5">
        <v>46205</v>
      </c>
      <c r="D3" s="59" t="s">
        <v>18</v>
      </c>
      <c r="E3" s="3" t="s">
        <v>11</v>
      </c>
      <c r="F3" s="3">
        <v>5</v>
      </c>
      <c r="G3" s="3" t="str">
        <f>IFERROR(VLOOKUP(E3,'Master Data'!$B$7:$D$18,2,0),"")</f>
        <v>Laptop 15"</v>
      </c>
      <c r="H3" s="4">
        <f>IFERROR(VLOOKUP(E3,'Master Data'!$B$7:$D$18,3,0),"")</f>
        <v>450000</v>
      </c>
      <c r="I3" s="18">
        <f>IFERROR(F3*H3,"")</f>
        <v>2250000</v>
      </c>
      <c r="J3" s="14" t="str">
        <f>IFERROR(VLOOKUP(D3,'Master Data'!$F$7:$I$14,3,0), "")</f>
        <v>GUANACASTE</v>
      </c>
    </row>
    <row r="4" spans="2:10" x14ac:dyDescent="0.3">
      <c r="B4" s="3">
        <v>2</v>
      </c>
      <c r="C4" s="5">
        <v>46260</v>
      </c>
      <c r="D4" s="3" t="s">
        <v>28</v>
      </c>
      <c r="E4" s="3" t="s">
        <v>21</v>
      </c>
      <c r="F4" s="3">
        <v>2</v>
      </c>
      <c r="G4" s="19" t="str">
        <f>IFERROR(VLOOKUP(E4,'Master Data'!$B$7:$D$18, 2, 0), "")</f>
        <v>Mouse Inalámbrico</v>
      </c>
      <c r="H4" s="4">
        <f>IFERROR(VLOOKUP(E4,'Master Data'!$B$7:$D$18, 3, 0), "")</f>
        <v>12000</v>
      </c>
      <c r="I4" s="18">
        <f>IFERROR(F4*H4, "")</f>
        <v>24000</v>
      </c>
      <c r="J4" s="14" t="str">
        <f>IFERROR(VLOOKUP(D4,'Master Data'!$F$7:$I$14,3,0), "")</f>
        <v>ZONA SUR</v>
      </c>
    </row>
    <row r="5" spans="2:10" x14ac:dyDescent="0.3">
      <c r="B5" s="3">
        <v>3</v>
      </c>
      <c r="C5" s="5">
        <v>46178</v>
      </c>
      <c r="D5" s="3" t="s">
        <v>18</v>
      </c>
      <c r="E5" s="3" t="s">
        <v>49</v>
      </c>
      <c r="F5" s="3">
        <v>7</v>
      </c>
      <c r="G5" s="19" t="str">
        <f>IFERROR(VLOOKUP(E5,'Master Data'!$B$7:$D$18, 2, 0), "")</f>
        <v>Impresora Multifuncional</v>
      </c>
      <c r="H5" s="4">
        <f>IFERROR(VLOOKUP(E5,'Master Data'!$B$7:$D$18, 3, 0), "")</f>
        <v>95000</v>
      </c>
      <c r="I5" s="18">
        <f t="shared" ref="I5:I42" si="0">IFERROR(F5*H5, "")</f>
        <v>665000</v>
      </c>
      <c r="J5" s="14" t="str">
        <f>IFERROR(VLOOKUP(D5,'Master Data'!$F$7:$I$14,3,0), "")</f>
        <v>GUANACASTE</v>
      </c>
    </row>
    <row r="6" spans="2:10" x14ac:dyDescent="0.3">
      <c r="B6" s="3">
        <v>4</v>
      </c>
      <c r="C6" s="5">
        <v>46203</v>
      </c>
      <c r="D6" s="3" t="s">
        <v>13</v>
      </c>
      <c r="E6" s="3" t="s">
        <v>16</v>
      </c>
      <c r="F6" s="3">
        <v>4</v>
      </c>
      <c r="G6" s="19" t="str">
        <f>IFERROR(VLOOKUP(E6,'Master Data'!$B$7:$D$18, 2, 0), "")</f>
        <v>Monitor 24"</v>
      </c>
      <c r="H6" s="4">
        <f>IFERROR(VLOOKUP(E6,'Master Data'!$B$7:$D$18, 3, 0), "")</f>
        <v>95000</v>
      </c>
      <c r="I6" s="18">
        <f t="shared" si="0"/>
        <v>380000</v>
      </c>
      <c r="J6" s="14" t="str">
        <f>IFERROR(VLOOKUP(D6,'Master Data'!$F$7:$I$14,3,0), "")</f>
        <v>GAM</v>
      </c>
    </row>
    <row r="7" spans="2:10" x14ac:dyDescent="0.3">
      <c r="B7" s="3">
        <v>5</v>
      </c>
      <c r="C7" s="5">
        <v>46265</v>
      </c>
      <c r="D7" s="3" t="s">
        <v>13</v>
      </c>
      <c r="E7" s="3" t="s">
        <v>47</v>
      </c>
      <c r="F7" s="3">
        <v>4</v>
      </c>
      <c r="G7" s="19" t="str">
        <f>IFERROR(VLOOKUP(E7,'Master Data'!$B$7:$D$18, 2, 0), "")</f>
        <v>Tablet 10"</v>
      </c>
      <c r="H7" s="4">
        <f>IFERROR(VLOOKUP(E7,'Master Data'!$B$7:$D$18, 3, 0), "")</f>
        <v>210000</v>
      </c>
      <c r="I7" s="18">
        <f t="shared" si="0"/>
        <v>840000</v>
      </c>
      <c r="J7" s="14" t="str">
        <f>IFERROR(VLOOKUP(D7,'Master Data'!$F$7:$I$14,3,0), "")</f>
        <v>GAM</v>
      </c>
    </row>
    <row r="8" spans="2:10" x14ac:dyDescent="0.3">
      <c r="B8" s="3">
        <v>6</v>
      </c>
      <c r="C8" s="5">
        <v>46249</v>
      </c>
      <c r="D8" s="3" t="s">
        <v>41</v>
      </c>
      <c r="E8" s="19" t="s">
        <v>26</v>
      </c>
      <c r="F8" s="3">
        <v>8</v>
      </c>
      <c r="G8" s="19" t="str">
        <f>IFERROR(VLOOKUP(E8,'Master Data'!$B$7:$D$18, 2, 0), "")</f>
        <v>Teclado Mecánico</v>
      </c>
      <c r="H8" s="4">
        <f>IFERROR(VLOOKUP(E8,'Master Data'!$B$7:$D$18, 3, 0), "")</f>
        <v>35000</v>
      </c>
      <c r="I8" s="18">
        <f t="shared" si="0"/>
        <v>280000</v>
      </c>
      <c r="J8" s="14" t="str">
        <f>IFERROR(VLOOKUP(D8,'Master Data'!$F$7:$I$14,3,0), "")</f>
        <v>PUNTARENAS</v>
      </c>
    </row>
    <row r="9" spans="2:10" x14ac:dyDescent="0.3">
      <c r="B9" s="3">
        <v>7</v>
      </c>
      <c r="C9" s="5">
        <v>46263</v>
      </c>
      <c r="D9" s="3" t="s">
        <v>33</v>
      </c>
      <c r="E9" s="3" t="s">
        <v>11</v>
      </c>
      <c r="F9" s="3">
        <v>3</v>
      </c>
      <c r="G9" s="19" t="str">
        <f>IFERROR(VLOOKUP(E9,'Master Data'!$B$7:$D$18, 2, 0), "")</f>
        <v>Laptop 15"</v>
      </c>
      <c r="H9" s="4">
        <f>IFERROR(VLOOKUP(E9,'Master Data'!$B$7:$D$18, 3, 0), "")</f>
        <v>450000</v>
      </c>
      <c r="I9" s="18">
        <f t="shared" si="0"/>
        <v>1350000</v>
      </c>
      <c r="J9" s="14" t="str">
        <f>IFERROR(VLOOKUP(D9,'Master Data'!$F$7:$I$14,3,0), "")</f>
        <v>GAM</v>
      </c>
    </row>
    <row r="10" spans="2:10" x14ac:dyDescent="0.3">
      <c r="B10" s="3">
        <v>8</v>
      </c>
      <c r="C10" s="5">
        <v>46193</v>
      </c>
      <c r="D10" s="3" t="s">
        <v>41</v>
      </c>
      <c r="E10" s="3" t="s">
        <v>35</v>
      </c>
      <c r="F10" s="3">
        <v>5</v>
      </c>
      <c r="G10" s="19" t="str">
        <f>IFERROR(VLOOKUP(E10,'Master Data'!$B$7:$D$18, 2, 0), "")</f>
        <v>Parlantes USB</v>
      </c>
      <c r="H10" s="4">
        <f>IFERROR(VLOOKUP(E10,'Master Data'!$B$7:$D$18, 3, 0), "")</f>
        <v>45000</v>
      </c>
      <c r="I10" s="18">
        <f t="shared" si="0"/>
        <v>225000</v>
      </c>
      <c r="J10" s="14" t="str">
        <f>IFERROR(VLOOKUP(D10,'Master Data'!$F$7:$I$14,3,0), "")</f>
        <v>PUNTARENAS</v>
      </c>
    </row>
    <row r="11" spans="2:10" x14ac:dyDescent="0.3">
      <c r="B11" s="3">
        <v>9</v>
      </c>
      <c r="C11" s="5">
        <v>46185</v>
      </c>
      <c r="D11" s="3" t="s">
        <v>28</v>
      </c>
      <c r="E11" s="3" t="s">
        <v>35</v>
      </c>
      <c r="F11" s="3">
        <v>2</v>
      </c>
      <c r="G11" s="19" t="str">
        <f>IFERROR(VLOOKUP(E11,'Master Data'!$B$7:$D$18, 2, 0), "")</f>
        <v>Parlantes USB</v>
      </c>
      <c r="H11" s="4">
        <f>IFERROR(VLOOKUP(E11,'Master Data'!$B$7:$D$18, 3, 0), "")</f>
        <v>45000</v>
      </c>
      <c r="I11" s="18">
        <f t="shared" si="0"/>
        <v>90000</v>
      </c>
      <c r="J11" s="14" t="str">
        <f>IFERROR(VLOOKUP(D11,'Master Data'!$F$7:$I$14,3,0), "")</f>
        <v>ZONA SUR</v>
      </c>
    </row>
    <row r="12" spans="2:10" x14ac:dyDescent="0.3">
      <c r="B12" s="3">
        <v>10</v>
      </c>
      <c r="C12" s="5">
        <v>46218</v>
      </c>
      <c r="D12" s="3" t="s">
        <v>41</v>
      </c>
      <c r="E12" s="3" t="s">
        <v>16</v>
      </c>
      <c r="F12" s="3">
        <v>6</v>
      </c>
      <c r="G12" s="19" t="str">
        <f>IFERROR(VLOOKUP(E12,'Master Data'!$B$7:$D$18, 2, 0), "")</f>
        <v>Monitor 24"</v>
      </c>
      <c r="H12" s="4">
        <f>IFERROR(VLOOKUP(E12,'Master Data'!$B$7:$D$18, 3, 0), "")</f>
        <v>95000</v>
      </c>
      <c r="I12" s="18">
        <f t="shared" si="0"/>
        <v>570000</v>
      </c>
      <c r="J12" s="14" t="str">
        <f>IFERROR(VLOOKUP(D12,'Master Data'!$F$7:$I$14,3,0), "")</f>
        <v>PUNTARENAS</v>
      </c>
    </row>
    <row r="13" spans="2:10" x14ac:dyDescent="0.3">
      <c r="B13" s="3">
        <v>11</v>
      </c>
      <c r="C13" s="5">
        <v>46242</v>
      </c>
      <c r="D13" s="3" t="s">
        <v>33</v>
      </c>
      <c r="E13" s="3" t="s">
        <v>11</v>
      </c>
      <c r="F13" s="3">
        <v>8</v>
      </c>
      <c r="G13" s="19" t="str">
        <f>IFERROR(VLOOKUP(E13,'Master Data'!$B$7:$D$18, 2, 0), "")</f>
        <v>Laptop 15"</v>
      </c>
      <c r="H13" s="4">
        <f>IFERROR(VLOOKUP(E13,'Master Data'!$B$7:$D$18, 3, 0), "")</f>
        <v>450000</v>
      </c>
      <c r="I13" s="18">
        <f t="shared" si="0"/>
        <v>3600000</v>
      </c>
      <c r="J13" s="14" t="str">
        <f>IFERROR(VLOOKUP(D13,'Master Data'!$F$7:$I$14,3,0), "")</f>
        <v>GAM</v>
      </c>
    </row>
    <row r="14" spans="2:10" x14ac:dyDescent="0.3">
      <c r="B14" s="3">
        <v>12</v>
      </c>
      <c r="C14" s="5">
        <v>46244</v>
      </c>
      <c r="D14" s="3" t="s">
        <v>18</v>
      </c>
      <c r="E14" s="3" t="s">
        <v>39</v>
      </c>
      <c r="F14" s="3">
        <v>2</v>
      </c>
      <c r="G14" s="19" t="str">
        <f>IFERROR(VLOOKUP(E14,'Master Data'!$B$7:$D$18, 2, 0), "")</f>
        <v>Silla Gamer</v>
      </c>
      <c r="H14" s="4">
        <f>IFERROR(VLOOKUP(E14,'Master Data'!$B$7:$D$18, 3, 0), "")</f>
        <v>180000</v>
      </c>
      <c r="I14" s="18">
        <f t="shared" si="0"/>
        <v>360000</v>
      </c>
      <c r="J14" s="14" t="str">
        <f>IFERROR(VLOOKUP(D14,'Master Data'!$F$7:$I$14,3,0), "")</f>
        <v>GUANACASTE</v>
      </c>
    </row>
    <row r="15" spans="2:10" x14ac:dyDescent="0.3">
      <c r="B15" s="3">
        <v>13</v>
      </c>
      <c r="C15" s="5">
        <v>46247</v>
      </c>
      <c r="D15" s="3" t="s">
        <v>33</v>
      </c>
      <c r="E15" s="3" t="s">
        <v>51</v>
      </c>
      <c r="F15" s="3">
        <v>6</v>
      </c>
      <c r="G15" s="19" t="str">
        <f>IFERROR(VLOOKUP(E15,'Master Data'!$B$7:$D$18, 2, 0), "")</f>
        <v>Router WiFi 6</v>
      </c>
      <c r="H15" s="4">
        <f>IFERROR(VLOOKUP(E15,'Master Data'!$B$7:$D$18, 3, 0), "")</f>
        <v>38000</v>
      </c>
      <c r="I15" s="18">
        <f t="shared" si="0"/>
        <v>228000</v>
      </c>
      <c r="J15" s="14" t="str">
        <f>IFERROR(VLOOKUP(D15,'Master Data'!$F$7:$I$14,3,0), "")</f>
        <v>GAM</v>
      </c>
    </row>
    <row r="16" spans="2:10" x14ac:dyDescent="0.3">
      <c r="B16" s="3">
        <v>14</v>
      </c>
      <c r="C16" s="5">
        <v>46179</v>
      </c>
      <c r="D16" s="3" t="s">
        <v>28</v>
      </c>
      <c r="E16" s="3" t="s">
        <v>53</v>
      </c>
      <c r="F16" s="3">
        <v>2</v>
      </c>
      <c r="G16" s="19" t="str">
        <f>IFERROR(VLOOKUP(E16,'Master Data'!$B$7:$D$18, 2, 0), "")</f>
        <v>Disco SSD 1TB</v>
      </c>
      <c r="H16" s="4">
        <f>IFERROR(VLOOKUP(E16,'Master Data'!$B$7:$D$18, 3, 0), "")</f>
        <v>55000</v>
      </c>
      <c r="I16" s="18">
        <f t="shared" si="0"/>
        <v>110000</v>
      </c>
      <c r="J16" s="14" t="str">
        <f>IFERROR(VLOOKUP(D16,'Master Data'!$F$7:$I$14,3,0), "")</f>
        <v>ZONA SUR</v>
      </c>
    </row>
    <row r="17" spans="2:10" x14ac:dyDescent="0.3">
      <c r="B17" s="3">
        <v>15</v>
      </c>
      <c r="C17" s="5">
        <v>46203</v>
      </c>
      <c r="D17" s="3" t="s">
        <v>28</v>
      </c>
      <c r="E17" s="3" t="s">
        <v>31</v>
      </c>
      <c r="F17" s="3">
        <v>2</v>
      </c>
      <c r="G17" s="19" t="str">
        <f>IFERROR(VLOOKUP(E17,'Master Data'!$B$7:$D$18, 2, 0), "")</f>
        <v>Audífonos Bluetooth</v>
      </c>
      <c r="H17" s="4">
        <f>IFERROR(VLOOKUP(E17,'Master Data'!$B$7:$D$18, 3, 0), "")</f>
        <v>28000</v>
      </c>
      <c r="I17" s="18">
        <f t="shared" si="0"/>
        <v>56000</v>
      </c>
      <c r="J17" s="14" t="str">
        <f>IFERROR(VLOOKUP(D17,'Master Data'!$F$7:$I$14,3,0), "")</f>
        <v>ZONA SUR</v>
      </c>
    </row>
    <row r="18" spans="2:10" x14ac:dyDescent="0.3">
      <c r="B18" s="3">
        <v>16</v>
      </c>
      <c r="C18" s="5">
        <v>46232</v>
      </c>
      <c r="D18" s="3" t="s">
        <v>18</v>
      </c>
      <c r="E18" s="3" t="s">
        <v>39</v>
      </c>
      <c r="F18" s="3">
        <v>5</v>
      </c>
      <c r="G18" s="19" t="str">
        <f>IFERROR(VLOOKUP(E18,'Master Data'!$B$7:$D$18, 2, 0), "")</f>
        <v>Silla Gamer</v>
      </c>
      <c r="H18" s="4">
        <f>IFERROR(VLOOKUP(E18,'Master Data'!$B$7:$D$18, 3, 0), "")</f>
        <v>180000</v>
      </c>
      <c r="I18" s="18">
        <f t="shared" si="0"/>
        <v>900000</v>
      </c>
      <c r="J18" s="14" t="str">
        <f>IFERROR(VLOOKUP(D18,'Master Data'!$F$7:$I$14,3,0), "")</f>
        <v>GUANACASTE</v>
      </c>
    </row>
    <row r="19" spans="2:10" x14ac:dyDescent="0.3">
      <c r="B19" s="3">
        <v>17</v>
      </c>
      <c r="C19" s="5">
        <v>46219</v>
      </c>
      <c r="D19" s="3" t="s">
        <v>37</v>
      </c>
      <c r="E19" s="3" t="s">
        <v>21</v>
      </c>
      <c r="F19" s="3">
        <v>6</v>
      </c>
      <c r="G19" s="19" t="str">
        <f>IFERROR(VLOOKUP(E19,'Master Data'!$B$7:$D$18, 2, 0), "")</f>
        <v>Mouse Inalámbrico</v>
      </c>
      <c r="H19" s="4">
        <f>IFERROR(VLOOKUP(E19,'Master Data'!$B$7:$D$18, 3, 0), "")</f>
        <v>12000</v>
      </c>
      <c r="I19" s="18">
        <f t="shared" si="0"/>
        <v>72000</v>
      </c>
      <c r="J19" s="14" t="str">
        <f>IFERROR(VLOOKUP(D19,'Master Data'!$F$7:$I$14,3,0), "")</f>
        <v>GUANACASTE</v>
      </c>
    </row>
    <row r="20" spans="2:10" x14ac:dyDescent="0.3">
      <c r="B20" s="3">
        <v>18</v>
      </c>
      <c r="C20" s="5">
        <v>46263</v>
      </c>
      <c r="D20" s="3" t="s">
        <v>28</v>
      </c>
      <c r="E20" s="3" t="s">
        <v>51</v>
      </c>
      <c r="F20" s="3">
        <v>5</v>
      </c>
      <c r="G20" s="19" t="str">
        <f>IFERROR(VLOOKUP(E20,'Master Data'!$B$7:$D$18, 2, 0), "")</f>
        <v>Router WiFi 6</v>
      </c>
      <c r="H20" s="4">
        <f>IFERROR(VLOOKUP(E20,'Master Data'!$B$7:$D$18, 3, 0), "")</f>
        <v>38000</v>
      </c>
      <c r="I20" s="18">
        <f t="shared" si="0"/>
        <v>190000</v>
      </c>
      <c r="J20" s="14" t="str">
        <f>IFERROR(VLOOKUP(D20,'Master Data'!$F$7:$I$14,3,0), "")</f>
        <v>ZONA SUR</v>
      </c>
    </row>
    <row r="21" spans="2:10" x14ac:dyDescent="0.3">
      <c r="B21" s="3">
        <v>19</v>
      </c>
      <c r="C21" s="5">
        <v>46242</v>
      </c>
      <c r="D21" s="3" t="s">
        <v>18</v>
      </c>
      <c r="E21" s="3" t="s">
        <v>49</v>
      </c>
      <c r="F21" s="3">
        <v>3</v>
      </c>
      <c r="G21" s="19" t="str">
        <f>IFERROR(VLOOKUP(E21,'Master Data'!$B$7:$D$18, 2, 0), "")</f>
        <v>Impresora Multifuncional</v>
      </c>
      <c r="H21" s="4">
        <f>IFERROR(VLOOKUP(E21,'Master Data'!$B$7:$D$18, 3, 0), "")</f>
        <v>95000</v>
      </c>
      <c r="I21" s="18">
        <f t="shared" si="0"/>
        <v>285000</v>
      </c>
      <c r="J21" s="14" t="str">
        <f>IFERROR(VLOOKUP(D21,'Master Data'!$F$7:$I$14,3,0), "")</f>
        <v>GUANACASTE</v>
      </c>
    </row>
    <row r="22" spans="2:10" x14ac:dyDescent="0.3">
      <c r="B22" s="3">
        <v>20</v>
      </c>
      <c r="C22" s="5">
        <v>46222</v>
      </c>
      <c r="D22" s="3" t="s">
        <v>28</v>
      </c>
      <c r="E22" s="3" t="s">
        <v>21</v>
      </c>
      <c r="F22" s="3">
        <v>8</v>
      </c>
      <c r="G22" s="19" t="str">
        <f>IFERROR(VLOOKUP(E22,'Master Data'!$B$7:$D$18, 2, 0), "")</f>
        <v>Mouse Inalámbrico</v>
      </c>
      <c r="H22" s="4">
        <f>IFERROR(VLOOKUP(E22,'Master Data'!$B$7:$D$18, 3, 0), "")</f>
        <v>12000</v>
      </c>
      <c r="I22" s="18">
        <f t="shared" si="0"/>
        <v>96000</v>
      </c>
      <c r="J22" s="14" t="str">
        <f>IFERROR(VLOOKUP(D22,'Master Data'!$F$7:$I$14,3,0), "")</f>
        <v>ZONA SUR</v>
      </c>
    </row>
    <row r="23" spans="2:10" x14ac:dyDescent="0.3">
      <c r="B23" s="3">
        <v>21</v>
      </c>
      <c r="C23" s="5">
        <v>46261</v>
      </c>
      <c r="D23" s="3" t="s">
        <v>33</v>
      </c>
      <c r="E23" s="3" t="s">
        <v>51</v>
      </c>
      <c r="F23" s="3">
        <v>4</v>
      </c>
      <c r="G23" s="19" t="str">
        <f>IFERROR(VLOOKUP(E23,'Master Data'!$B$7:$D$18, 2, 0), "")</f>
        <v>Router WiFi 6</v>
      </c>
      <c r="H23" s="4">
        <f>IFERROR(VLOOKUP(E23,'Master Data'!$B$7:$D$18, 3, 0), "")</f>
        <v>38000</v>
      </c>
      <c r="I23" s="18">
        <f t="shared" si="0"/>
        <v>152000</v>
      </c>
      <c r="J23" s="14" t="str">
        <f>IFERROR(VLOOKUP(D23,'Master Data'!$F$7:$I$14,3,0), "")</f>
        <v>GAM</v>
      </c>
    </row>
    <row r="24" spans="2:10" x14ac:dyDescent="0.3">
      <c r="B24" s="3">
        <v>22</v>
      </c>
      <c r="C24" s="5">
        <v>46178</v>
      </c>
      <c r="D24" s="3" t="s">
        <v>37</v>
      </c>
      <c r="E24" s="3" t="s">
        <v>11</v>
      </c>
      <c r="F24" s="3">
        <v>4</v>
      </c>
      <c r="G24" s="19" t="str">
        <f>IFERROR(VLOOKUP(E24,'Master Data'!$B$7:$D$18, 2, 0), "")</f>
        <v>Laptop 15"</v>
      </c>
      <c r="H24" s="4">
        <f>IFERROR(VLOOKUP(E24,'Master Data'!$B$7:$D$18, 3, 0), "")</f>
        <v>450000</v>
      </c>
      <c r="I24" s="18">
        <f t="shared" si="0"/>
        <v>1800000</v>
      </c>
      <c r="J24" s="14" t="str">
        <f>IFERROR(VLOOKUP(D24,'Master Data'!$F$7:$I$14,3,0), "")</f>
        <v>GUANACASTE</v>
      </c>
    </row>
    <row r="25" spans="2:10" x14ac:dyDescent="0.3">
      <c r="B25" s="3">
        <v>23</v>
      </c>
      <c r="C25" s="5">
        <v>46182</v>
      </c>
      <c r="D25" s="3" t="s">
        <v>37</v>
      </c>
      <c r="E25" s="3" t="s">
        <v>39</v>
      </c>
      <c r="F25" s="3">
        <v>5</v>
      </c>
      <c r="G25" s="19" t="str">
        <f>IFERROR(VLOOKUP(E25,'Master Data'!$B$7:$D$18, 2, 0), "")</f>
        <v>Silla Gamer</v>
      </c>
      <c r="H25" s="4">
        <f>IFERROR(VLOOKUP(E25,'Master Data'!$B$7:$D$18, 3, 0), "")</f>
        <v>180000</v>
      </c>
      <c r="I25" s="18">
        <f t="shared" si="0"/>
        <v>900000</v>
      </c>
      <c r="J25" s="14" t="str">
        <f>IFERROR(VLOOKUP(D25,'Master Data'!$F$7:$I$14,3,0), "")</f>
        <v>GUANACASTE</v>
      </c>
    </row>
    <row r="26" spans="2:10" x14ac:dyDescent="0.3">
      <c r="B26" s="3">
        <v>24</v>
      </c>
      <c r="C26" s="5">
        <v>46201</v>
      </c>
      <c r="D26" s="3" t="s">
        <v>28</v>
      </c>
      <c r="E26" s="3" t="s">
        <v>49</v>
      </c>
      <c r="F26" s="3">
        <v>6</v>
      </c>
      <c r="G26" s="19" t="str">
        <f>IFERROR(VLOOKUP(E26,'Master Data'!$B$7:$D$18, 2, 0), "")</f>
        <v>Impresora Multifuncional</v>
      </c>
      <c r="H26" s="4">
        <f>IFERROR(VLOOKUP(E26,'Master Data'!$B$7:$D$18, 3, 0), "")</f>
        <v>95000</v>
      </c>
      <c r="I26" s="18">
        <f t="shared" si="0"/>
        <v>570000</v>
      </c>
      <c r="J26" s="14" t="str">
        <f>IFERROR(VLOOKUP(D26,'Master Data'!$F$7:$I$14,3,0), "")</f>
        <v>ZONA SUR</v>
      </c>
    </row>
    <row r="27" spans="2:10" x14ac:dyDescent="0.3">
      <c r="B27" s="3">
        <v>25</v>
      </c>
      <c r="C27" s="5">
        <v>46192</v>
      </c>
      <c r="D27" s="3" t="s">
        <v>45</v>
      </c>
      <c r="E27" s="3" t="s">
        <v>39</v>
      </c>
      <c r="F27" s="3">
        <v>8</v>
      </c>
      <c r="G27" s="19" t="str">
        <f>IFERROR(VLOOKUP(E27,'Master Data'!$B$7:$D$18, 2, 0), "")</f>
        <v>Silla Gamer</v>
      </c>
      <c r="H27" s="4">
        <f>IFERROR(VLOOKUP(E27,'Master Data'!$B$7:$D$18, 3, 0), "")</f>
        <v>180000</v>
      </c>
      <c r="I27" s="18">
        <f t="shared" si="0"/>
        <v>1440000</v>
      </c>
      <c r="J27" s="14" t="str">
        <f>IFERROR(VLOOKUP(D27,'Master Data'!$F$7:$I$14,3,0), "")</f>
        <v>ZONA SUR</v>
      </c>
    </row>
    <row r="28" spans="2:10" x14ac:dyDescent="0.3">
      <c r="B28" s="3">
        <v>26</v>
      </c>
      <c r="C28" s="5">
        <v>46245</v>
      </c>
      <c r="D28" s="3" t="s">
        <v>33</v>
      </c>
      <c r="E28" s="3" t="s">
        <v>21</v>
      </c>
      <c r="F28" s="3">
        <v>4</v>
      </c>
      <c r="G28" s="19" t="str">
        <f>IFERROR(VLOOKUP(E28,'Master Data'!$B$7:$D$18, 2, 0), "")</f>
        <v>Mouse Inalámbrico</v>
      </c>
      <c r="H28" s="4">
        <f>IFERROR(VLOOKUP(E28,'Master Data'!$B$7:$D$18, 3, 0), "")</f>
        <v>12000</v>
      </c>
      <c r="I28" s="18">
        <f t="shared" si="0"/>
        <v>48000</v>
      </c>
      <c r="J28" s="14" t="str">
        <f>IFERROR(VLOOKUP(D28,'Master Data'!$F$7:$I$14,3,0), "")</f>
        <v>GAM</v>
      </c>
    </row>
    <row r="29" spans="2:10" x14ac:dyDescent="0.3">
      <c r="B29" s="3">
        <v>27</v>
      </c>
      <c r="C29" s="5">
        <v>46248</v>
      </c>
      <c r="D29" s="3" t="s">
        <v>33</v>
      </c>
      <c r="E29" s="3" t="s">
        <v>53</v>
      </c>
      <c r="F29" s="3">
        <v>7</v>
      </c>
      <c r="G29" s="19" t="str">
        <f>IFERROR(VLOOKUP(E29,'Master Data'!$B$7:$D$18, 2, 0), "")</f>
        <v>Disco SSD 1TB</v>
      </c>
      <c r="H29" s="4">
        <f>IFERROR(VLOOKUP(E29,'Master Data'!$B$7:$D$18, 3, 0), "")</f>
        <v>55000</v>
      </c>
      <c r="I29" s="18">
        <f t="shared" si="0"/>
        <v>385000</v>
      </c>
      <c r="J29" s="14" t="str">
        <f>IFERROR(VLOOKUP(D29,'Master Data'!$F$7:$I$14,3,0), "")</f>
        <v>GAM</v>
      </c>
    </row>
    <row r="30" spans="2:10" x14ac:dyDescent="0.3">
      <c r="B30" s="3">
        <v>28</v>
      </c>
      <c r="C30" s="5">
        <v>46191</v>
      </c>
      <c r="D30" s="3" t="s">
        <v>41</v>
      </c>
      <c r="E30" s="3" t="s">
        <v>35</v>
      </c>
      <c r="F30" s="3">
        <v>4</v>
      </c>
      <c r="G30" s="19" t="str">
        <f>IFERROR(VLOOKUP(E30,'Master Data'!$B$7:$D$18, 2, 0), "")</f>
        <v>Parlantes USB</v>
      </c>
      <c r="H30" s="4">
        <f>IFERROR(VLOOKUP(E30,'Master Data'!$B$7:$D$18, 3, 0), "")</f>
        <v>45000</v>
      </c>
      <c r="I30" s="18">
        <f t="shared" si="0"/>
        <v>180000</v>
      </c>
      <c r="J30" s="14" t="str">
        <f>IFERROR(VLOOKUP(D30,'Master Data'!$F$7:$I$14,3,0), "")</f>
        <v>PUNTARENAS</v>
      </c>
    </row>
    <row r="31" spans="2:10" x14ac:dyDescent="0.3">
      <c r="B31" s="3">
        <v>29</v>
      </c>
      <c r="C31" s="5">
        <v>46188</v>
      </c>
      <c r="D31" s="3" t="s">
        <v>45</v>
      </c>
      <c r="E31" s="3" t="s">
        <v>16</v>
      </c>
      <c r="F31" s="3">
        <v>1</v>
      </c>
      <c r="G31" s="19" t="str">
        <f>IFERROR(VLOOKUP(E31,'Master Data'!$B$7:$D$18, 2, 0), "")</f>
        <v>Monitor 24"</v>
      </c>
      <c r="H31" s="4">
        <f>IFERROR(VLOOKUP(E31,'Master Data'!$B$7:$D$18, 3, 0), "")</f>
        <v>95000</v>
      </c>
      <c r="I31" s="18">
        <f t="shared" si="0"/>
        <v>95000</v>
      </c>
      <c r="J31" s="14" t="str">
        <f>IFERROR(VLOOKUP(D31,'Master Data'!$F$7:$I$14,3,0), "")</f>
        <v>ZONA SUR</v>
      </c>
    </row>
    <row r="32" spans="2:10" x14ac:dyDescent="0.3">
      <c r="B32" s="3">
        <v>30</v>
      </c>
      <c r="C32" s="5">
        <v>46261</v>
      </c>
      <c r="D32" s="3" t="s">
        <v>23</v>
      </c>
      <c r="E32" s="3" t="s">
        <v>51</v>
      </c>
      <c r="F32" s="3">
        <v>3</v>
      </c>
      <c r="G32" s="19" t="str">
        <f>IFERROR(VLOOKUP(E32,'Master Data'!$B$7:$D$18, 2, 0), "")</f>
        <v>Router WiFi 6</v>
      </c>
      <c r="H32" s="4">
        <f>IFERROR(VLOOKUP(E32,'Master Data'!$B$7:$D$18, 3, 0), "")</f>
        <v>38000</v>
      </c>
      <c r="I32" s="18">
        <f t="shared" si="0"/>
        <v>114000</v>
      </c>
      <c r="J32" s="14" t="str">
        <f>IFERROR(VLOOKUP(D32,'Master Data'!$F$7:$I$14,3,0), "")</f>
        <v>PUNTARENAS</v>
      </c>
    </row>
    <row r="33" spans="2:10" x14ac:dyDescent="0.3">
      <c r="B33" s="3">
        <v>31</v>
      </c>
      <c r="C33" s="5">
        <v>46223</v>
      </c>
      <c r="D33" s="3" t="s">
        <v>41</v>
      </c>
      <c r="E33" s="3" t="s">
        <v>49</v>
      </c>
      <c r="F33" s="3">
        <v>2</v>
      </c>
      <c r="G33" s="19" t="str">
        <f>IFERROR(VLOOKUP(E33,'Master Data'!$B$7:$D$18, 2, 0), "")</f>
        <v>Impresora Multifuncional</v>
      </c>
      <c r="H33" s="4">
        <f>IFERROR(VLOOKUP(E33,'Master Data'!$B$7:$D$18, 3, 0), "")</f>
        <v>95000</v>
      </c>
      <c r="I33" s="18">
        <f t="shared" si="0"/>
        <v>190000</v>
      </c>
      <c r="J33" s="14" t="str">
        <f>IFERROR(VLOOKUP(D33,'Master Data'!$F$7:$I$14,3,0), "")</f>
        <v>PUNTARENAS</v>
      </c>
    </row>
    <row r="34" spans="2:10" x14ac:dyDescent="0.3">
      <c r="B34" s="3">
        <v>32</v>
      </c>
      <c r="C34" s="5">
        <v>46241</v>
      </c>
      <c r="D34" s="3" t="s">
        <v>41</v>
      </c>
      <c r="E34" s="3" t="s">
        <v>49</v>
      </c>
      <c r="F34" s="3">
        <v>8</v>
      </c>
      <c r="G34" s="19" t="str">
        <f>IFERROR(VLOOKUP(E34,'Master Data'!$B$7:$D$18, 2, 0), "")</f>
        <v>Impresora Multifuncional</v>
      </c>
      <c r="H34" s="4">
        <f>IFERROR(VLOOKUP(E34,'Master Data'!$B$7:$D$18, 3, 0), "")</f>
        <v>95000</v>
      </c>
      <c r="I34" s="18">
        <f t="shared" si="0"/>
        <v>760000</v>
      </c>
      <c r="J34" s="14" t="str">
        <f>IFERROR(VLOOKUP(D34,'Master Data'!$F$7:$I$14,3,0), "")</f>
        <v>PUNTARENAS</v>
      </c>
    </row>
    <row r="35" spans="2:10" x14ac:dyDescent="0.3">
      <c r="B35" s="3">
        <v>33</v>
      </c>
      <c r="C35" s="5">
        <v>46261</v>
      </c>
      <c r="D35" s="3" t="s">
        <v>33</v>
      </c>
      <c r="E35" s="3" t="s">
        <v>47</v>
      </c>
      <c r="F35" s="3">
        <v>1</v>
      </c>
      <c r="G35" s="19" t="str">
        <f>IFERROR(VLOOKUP(E35,'Master Data'!$B$7:$D$18, 2, 0), "")</f>
        <v>Tablet 10"</v>
      </c>
      <c r="H35" s="4">
        <f>IFERROR(VLOOKUP(E35,'Master Data'!$B$7:$D$18, 3, 0), "")</f>
        <v>210000</v>
      </c>
      <c r="I35" s="18">
        <f t="shared" si="0"/>
        <v>210000</v>
      </c>
      <c r="J35" s="14" t="str">
        <f>IFERROR(VLOOKUP(D35,'Master Data'!$F$7:$I$14,3,0), "")</f>
        <v>GAM</v>
      </c>
    </row>
    <row r="36" spans="2:10" x14ac:dyDescent="0.3">
      <c r="B36" s="3">
        <v>34</v>
      </c>
      <c r="C36" s="5">
        <v>46256</v>
      </c>
      <c r="D36" s="3" t="s">
        <v>18</v>
      </c>
      <c r="E36" s="3" t="s">
        <v>51</v>
      </c>
      <c r="F36" s="3">
        <v>5</v>
      </c>
      <c r="G36" s="19" t="str">
        <f>IFERROR(VLOOKUP(E36,'Master Data'!$B$7:$D$18, 2, 0), "")</f>
        <v>Router WiFi 6</v>
      </c>
      <c r="H36" s="4">
        <f>IFERROR(VLOOKUP(E36,'Master Data'!$B$7:$D$18, 3, 0), "")</f>
        <v>38000</v>
      </c>
      <c r="I36" s="18">
        <f t="shared" si="0"/>
        <v>190000</v>
      </c>
      <c r="J36" s="14" t="str">
        <f>IFERROR(VLOOKUP(D36,'Master Data'!$F$7:$I$14,3,0), "")</f>
        <v>GUANACASTE</v>
      </c>
    </row>
    <row r="37" spans="2:10" x14ac:dyDescent="0.3">
      <c r="B37" s="3">
        <v>35</v>
      </c>
      <c r="C37" s="5">
        <v>46229</v>
      </c>
      <c r="D37" s="3" t="s">
        <v>37</v>
      </c>
      <c r="E37" s="3" t="s">
        <v>16</v>
      </c>
      <c r="F37" s="3">
        <v>5</v>
      </c>
      <c r="G37" s="19" t="str">
        <f>IFERROR(VLOOKUP(E37,'Master Data'!$B$7:$D$18, 2, 0), "")</f>
        <v>Monitor 24"</v>
      </c>
      <c r="H37" s="4">
        <f>IFERROR(VLOOKUP(E37,'Master Data'!$B$7:$D$18, 3, 0), "")</f>
        <v>95000</v>
      </c>
      <c r="I37" s="18">
        <f t="shared" si="0"/>
        <v>475000</v>
      </c>
      <c r="J37" s="14" t="str">
        <f>IFERROR(VLOOKUP(D37,'Master Data'!$F$7:$I$14,3,0), "")</f>
        <v>GUANACASTE</v>
      </c>
    </row>
    <row r="38" spans="2:10" x14ac:dyDescent="0.3">
      <c r="B38" s="3">
        <v>36</v>
      </c>
      <c r="C38" s="5">
        <v>46207</v>
      </c>
      <c r="D38" s="3" t="s">
        <v>23</v>
      </c>
      <c r="E38" s="3" t="s">
        <v>43</v>
      </c>
      <c r="F38" s="3">
        <v>1</v>
      </c>
      <c r="G38" s="19" t="str">
        <f>IFERROR(VLOOKUP(E38,'Master Data'!$B$7:$D$18, 2, 0), "")</f>
        <v>Escritorio Ajustable</v>
      </c>
      <c r="H38" s="4">
        <f>IFERROR(VLOOKUP(E38,'Master Data'!$B$7:$D$18, 3, 0), "")</f>
        <v>120000</v>
      </c>
      <c r="I38" s="18">
        <f t="shared" si="0"/>
        <v>120000</v>
      </c>
      <c r="J38" s="14" t="str">
        <f>IFERROR(VLOOKUP(D38,'Master Data'!$F$7:$I$14,3,0), "")</f>
        <v>PUNTARENAS</v>
      </c>
    </row>
    <row r="39" spans="2:10" x14ac:dyDescent="0.3">
      <c r="B39" s="3">
        <v>37</v>
      </c>
      <c r="C39" s="5">
        <v>46254</v>
      </c>
      <c r="D39" s="3" t="s">
        <v>23</v>
      </c>
      <c r="E39" s="3" t="s">
        <v>47</v>
      </c>
      <c r="F39" s="3">
        <v>2</v>
      </c>
      <c r="G39" s="19" t="str">
        <f>IFERROR(VLOOKUP(E39,'Master Data'!$B$7:$D$18, 2, 0), "")</f>
        <v>Tablet 10"</v>
      </c>
      <c r="H39" s="4">
        <f>IFERROR(VLOOKUP(E39,'Master Data'!$B$7:$D$18, 3, 0), "")</f>
        <v>210000</v>
      </c>
      <c r="I39" s="18">
        <f t="shared" si="0"/>
        <v>420000</v>
      </c>
      <c r="J39" s="14" t="str">
        <f>IFERROR(VLOOKUP(D39,'Master Data'!$F$7:$I$14,3,0), "")</f>
        <v>PUNTARENAS</v>
      </c>
    </row>
    <row r="40" spans="2:10" x14ac:dyDescent="0.3">
      <c r="B40" s="3">
        <v>38</v>
      </c>
      <c r="C40" s="5">
        <v>46193</v>
      </c>
      <c r="D40" s="3" t="s">
        <v>33</v>
      </c>
      <c r="E40" s="3" t="s">
        <v>51</v>
      </c>
      <c r="F40" s="3">
        <v>4</v>
      </c>
      <c r="G40" s="19" t="str">
        <f>IFERROR(VLOOKUP(E40,'Master Data'!$B$7:$D$18, 2, 0), "")</f>
        <v>Router WiFi 6</v>
      </c>
      <c r="H40" s="4">
        <f>IFERROR(VLOOKUP(E40,'Master Data'!$B$7:$D$18, 3, 0), "")</f>
        <v>38000</v>
      </c>
      <c r="I40" s="18">
        <f t="shared" si="0"/>
        <v>152000</v>
      </c>
      <c r="J40" s="14" t="str">
        <f>IFERROR(VLOOKUP(D40,'Master Data'!$F$7:$I$14,3,0), "")</f>
        <v>GAM</v>
      </c>
    </row>
    <row r="41" spans="2:10" x14ac:dyDescent="0.3">
      <c r="B41" s="3">
        <v>39</v>
      </c>
      <c r="C41" s="5">
        <v>46250</v>
      </c>
      <c r="D41" s="3" t="s">
        <v>37</v>
      </c>
      <c r="E41" s="3" t="s">
        <v>21</v>
      </c>
      <c r="F41" s="3">
        <v>1</v>
      </c>
      <c r="G41" s="19" t="str">
        <f>IFERROR(VLOOKUP(E41,'Master Data'!$B$7:$D$18, 2, 0), "")</f>
        <v>Mouse Inalámbrico</v>
      </c>
      <c r="H41" s="4">
        <f>IFERROR(VLOOKUP(E41,'Master Data'!$B$7:$D$18, 3, 0), "")</f>
        <v>12000</v>
      </c>
      <c r="I41" s="18">
        <f t="shared" si="0"/>
        <v>12000</v>
      </c>
      <c r="J41" s="14" t="str">
        <f>IFERROR(VLOOKUP(D41,'Master Data'!$F$7:$I$14,3,0), "")</f>
        <v>GUANACASTE</v>
      </c>
    </row>
    <row r="42" spans="2:10" x14ac:dyDescent="0.3">
      <c r="B42" s="3">
        <v>40</v>
      </c>
      <c r="C42" s="5">
        <v>46188</v>
      </c>
      <c r="D42" s="3" t="s">
        <v>37</v>
      </c>
      <c r="E42" s="3" t="s">
        <v>43</v>
      </c>
      <c r="F42" s="3">
        <v>1</v>
      </c>
      <c r="G42" s="19" t="str">
        <f>IFERROR(VLOOKUP(E42,'Master Data'!$B$7:$D$18, 2, 0), "")</f>
        <v>Escritorio Ajustable</v>
      </c>
      <c r="H42" s="4">
        <f>IFERROR(VLOOKUP(E42,'Master Data'!$B$7:$D$18, 3, 0), "")</f>
        <v>120000</v>
      </c>
      <c r="I42" s="18">
        <f t="shared" si="0"/>
        <v>120000</v>
      </c>
      <c r="J42" s="14" t="str">
        <f>IFERROR(VLOOKUP(D42,'Master Data'!$F$7:$I$14,3,0), "")</f>
        <v>GUANACASTE</v>
      </c>
    </row>
    <row r="44" spans="2:10" x14ac:dyDescent="0.3">
      <c r="B44" s="16"/>
      <c r="C44" s="17"/>
      <c r="D44" s="17"/>
      <c r="E44" s="17"/>
      <c r="F44" s="17"/>
      <c r="G44" s="50" t="s">
        <v>74</v>
      </c>
      <c r="H44" s="50"/>
      <c r="I44" s="49">
        <f>SUM(I3:I42)</f>
        <v>20904000</v>
      </c>
      <c r="J44" s="49"/>
    </row>
  </sheetData>
  <autoFilter ref="B2:J42" xr:uid="{00000000-0001-0000-0200-000000000000}"/>
  <mergeCells count="2">
    <mergeCell ref="I44:J44"/>
    <mergeCell ref="G44:H44"/>
  </mergeCells>
  <conditionalFormatting sqref="J3:J42">
    <cfRule type="cellIs" dxfId="8" priority="1" operator="equal">
      <formula>"puntarenas"</formula>
    </cfRule>
    <cfRule type="containsText" dxfId="7" priority="2" operator="containsText" text="GUANACASTE">
      <formula>NOT(ISERROR(SEARCH("GUANACASTE",J3)))</formula>
    </cfRule>
    <cfRule type="containsText" dxfId="6" priority="3" operator="containsText" text="ZONA SUR">
      <formula>NOT(ISERROR(SEARCH("ZONA SUR",J3)))</formula>
    </cfRule>
    <cfRule type="containsText" dxfId="5" priority="4" operator="containsText" text="PUNTARENAS">
      <formula>NOT(ISERROR(SEARCH("PUNTARENAS",J3)))</formula>
    </cfRule>
    <cfRule type="containsText" dxfId="4" priority="5" operator="containsText" text="GUANACASTE">
      <formula>NOT(ISERROR(SEARCH("GUANACASTE",J3)))</formula>
    </cfRule>
    <cfRule type="containsText" dxfId="3" priority="6" operator="containsText" text="GAM">
      <formula>NOT(ISERROR(SEARCH("GAM",J3)))</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24"/>
  <sheetViews>
    <sheetView showGridLines="0" zoomScaleNormal="100" workbookViewId="0">
      <selection activeCell="H9" sqref="H9"/>
    </sheetView>
  </sheetViews>
  <sheetFormatPr baseColWidth="10" defaultColWidth="8.6640625" defaultRowHeight="14.4" x14ac:dyDescent="0.3"/>
  <cols>
    <col min="1" max="1" width="3" customWidth="1"/>
    <col min="2" max="2" width="38" customWidth="1"/>
    <col min="3" max="3" width="20" customWidth="1"/>
    <col min="4" max="4" width="14" customWidth="1"/>
    <col min="5" max="6" width="16" customWidth="1"/>
    <col min="7" max="7" width="16.44140625" customWidth="1"/>
    <col min="8" max="8" width="20.33203125" customWidth="1"/>
  </cols>
  <sheetData>
    <row r="2" spans="2:8" x14ac:dyDescent="0.3">
      <c r="B2" s="53" t="s">
        <v>92</v>
      </c>
      <c r="C2" s="53"/>
      <c r="D2" s="53"/>
      <c r="E2" s="53"/>
      <c r="F2" s="53"/>
      <c r="G2" s="53"/>
      <c r="H2" s="53"/>
    </row>
    <row r="4" spans="2:8" x14ac:dyDescent="0.3">
      <c r="B4" s="2" t="s">
        <v>5</v>
      </c>
      <c r="C4" s="2" t="s">
        <v>8</v>
      </c>
      <c r="D4" s="2" t="s">
        <v>9</v>
      </c>
      <c r="E4" s="2" t="s">
        <v>10</v>
      </c>
      <c r="F4" s="2" t="s">
        <v>61</v>
      </c>
      <c r="G4" s="2" t="s">
        <v>62</v>
      </c>
      <c r="H4" s="2" t="s">
        <v>63</v>
      </c>
    </row>
    <row r="5" spans="2:8" x14ac:dyDescent="0.3">
      <c r="B5" s="3" t="s">
        <v>13</v>
      </c>
      <c r="C5" s="3" t="s">
        <v>14</v>
      </c>
      <c r="D5" s="3" t="s">
        <v>15</v>
      </c>
      <c r="E5" s="4">
        <v>1350000</v>
      </c>
      <c r="F5" s="4">
        <f>SUMIF('Sales Sheet'!$D$3:$D$42,'Performance Level'!B5,'Sales Sheet'!$I$3:$I$42)</f>
        <v>1220000</v>
      </c>
      <c r="G5" s="3" t="str">
        <f>IF(F5&gt;=E5,"Yes","No")</f>
        <v>No</v>
      </c>
      <c r="H5" s="3" t="str">
        <f>IF(F5&gt;=E5,"High",IF(F5&gt;=E5*0.7,"Medium","Low"))</f>
        <v>Medium</v>
      </c>
    </row>
    <row r="6" spans="2:8" x14ac:dyDescent="0.3">
      <c r="B6" s="3" t="s">
        <v>18</v>
      </c>
      <c r="C6" s="3" t="s">
        <v>19</v>
      </c>
      <c r="D6" s="3" t="s">
        <v>20</v>
      </c>
      <c r="E6" s="4">
        <v>3250000</v>
      </c>
      <c r="F6" s="4">
        <f>SUMIF('Sales Sheet'!$D$3:$D$42,'Performance Level'!B6,'Sales Sheet'!$I$3:$I$42)</f>
        <v>4650000</v>
      </c>
      <c r="G6" s="19" t="str">
        <f>IF(F6&gt;=E6, "Yes", "No")</f>
        <v>Yes</v>
      </c>
      <c r="H6" s="3" t="str">
        <f>IF(F6&gt;=E6,"High",IF(F6&gt;=E6*0.7,"Medium","Low"))</f>
        <v>High</v>
      </c>
    </row>
    <row r="7" spans="2:8" x14ac:dyDescent="0.3">
      <c r="B7" s="3" t="s">
        <v>23</v>
      </c>
      <c r="C7" s="3" t="s">
        <v>24</v>
      </c>
      <c r="D7" s="3" t="s">
        <v>25</v>
      </c>
      <c r="E7" s="4">
        <v>850000</v>
      </c>
      <c r="F7" s="4">
        <f>SUMIF('Sales Sheet'!$D$3:$D$42,'Performance Level'!B7,'Sales Sheet'!$I$3:$I$42)</f>
        <v>654000</v>
      </c>
      <c r="G7" s="19" t="str">
        <f>IF(F7&gt;=E7, "Yes", "No")</f>
        <v>No</v>
      </c>
      <c r="H7" s="3" t="str">
        <f>IF(F7&gt;=E7,"High",IF(F7&gt;=E7*0.7,"Medium","Low"))</f>
        <v>Medium</v>
      </c>
    </row>
    <row r="8" spans="2:8" x14ac:dyDescent="0.3">
      <c r="B8" s="3" t="s">
        <v>28</v>
      </c>
      <c r="C8" s="3" t="s">
        <v>29</v>
      </c>
      <c r="D8" s="3" t="s">
        <v>30</v>
      </c>
      <c r="E8" s="4">
        <v>900000</v>
      </c>
      <c r="F8" s="4">
        <f>SUMIF('Sales Sheet'!$D$3:$D$42,'Performance Level'!B8,'Sales Sheet'!$I$3:$I$42)</f>
        <v>1136000</v>
      </c>
      <c r="G8" s="19" t="str">
        <f t="shared" ref="G8:G12" si="0">IF(F8&gt;=E8, "Yes", "No")</f>
        <v>Yes</v>
      </c>
      <c r="H8" s="3" t="str">
        <f t="shared" ref="H6:H12" si="1">IF(F8&gt;=E8,"High",IF(F8&gt;=E8*0.7,"Medium","Low"))</f>
        <v>High</v>
      </c>
    </row>
    <row r="9" spans="2:8" x14ac:dyDescent="0.3">
      <c r="B9" s="3" t="s">
        <v>33</v>
      </c>
      <c r="C9" s="3" t="s">
        <v>34</v>
      </c>
      <c r="D9" s="3" t="s">
        <v>15</v>
      </c>
      <c r="E9" s="4">
        <v>5500000</v>
      </c>
      <c r="F9" s="4">
        <f>SUMIF('Sales Sheet'!$D$3:$D$42,'Performance Level'!B9,'Sales Sheet'!$I$3:$I$42)</f>
        <v>6125000</v>
      </c>
      <c r="G9" s="19" t="str">
        <f t="shared" si="0"/>
        <v>Yes</v>
      </c>
      <c r="H9" s="3" t="str">
        <f t="shared" si="1"/>
        <v>High</v>
      </c>
    </row>
    <row r="10" spans="2:8" x14ac:dyDescent="0.3">
      <c r="B10" s="3" t="s">
        <v>37</v>
      </c>
      <c r="C10" s="3" t="s">
        <v>38</v>
      </c>
      <c r="D10" s="3" t="s">
        <v>20</v>
      </c>
      <c r="E10" s="4">
        <v>4750000</v>
      </c>
      <c r="F10" s="4">
        <f>SUMIF('Sales Sheet'!$D$3:$D$42,'Performance Level'!B10,'Sales Sheet'!$I$3:$I$42)</f>
        <v>3379000</v>
      </c>
      <c r="G10" s="19" t="str">
        <f t="shared" si="0"/>
        <v>No</v>
      </c>
      <c r="H10" s="3" t="str">
        <f t="shared" si="1"/>
        <v>Medium</v>
      </c>
    </row>
    <row r="11" spans="2:8" x14ac:dyDescent="0.3">
      <c r="B11" s="3" t="s">
        <v>41</v>
      </c>
      <c r="C11" s="3" t="s">
        <v>42</v>
      </c>
      <c r="D11" s="3" t="s">
        <v>25</v>
      </c>
      <c r="E11" s="4">
        <v>1650000</v>
      </c>
      <c r="F11" s="4">
        <f>SUMIF('Sales Sheet'!$D$3:$D$42,'Performance Level'!B11,'Sales Sheet'!$I$3:$I$42)</f>
        <v>2205000</v>
      </c>
      <c r="G11" s="19" t="str">
        <f t="shared" si="0"/>
        <v>Yes</v>
      </c>
      <c r="H11" s="3" t="str">
        <f t="shared" si="1"/>
        <v>High</v>
      </c>
    </row>
    <row r="12" spans="2:8" x14ac:dyDescent="0.3">
      <c r="B12" s="3" t="s">
        <v>45</v>
      </c>
      <c r="C12" s="3" t="s">
        <v>46</v>
      </c>
      <c r="D12" s="3" t="s">
        <v>30</v>
      </c>
      <c r="E12" s="4">
        <v>1850000</v>
      </c>
      <c r="F12" s="4">
        <f>SUMIF('Sales Sheet'!$D$3:$D$42,'Performance Level'!B12,'Sales Sheet'!$I$3:$I$42)</f>
        <v>1535000</v>
      </c>
      <c r="G12" s="19" t="str">
        <f t="shared" si="0"/>
        <v>No</v>
      </c>
      <c r="H12" s="3" t="str">
        <f t="shared" si="1"/>
        <v>Medium</v>
      </c>
    </row>
    <row r="14" spans="2:8" x14ac:dyDescent="0.3">
      <c r="B14" s="51" t="s">
        <v>64</v>
      </c>
      <c r="C14" s="51"/>
      <c r="D14" s="51"/>
      <c r="E14" s="20">
        <f>COUNTIF(G5:G12, "Yes")</f>
        <v>4</v>
      </c>
    </row>
    <row r="18" spans="2:3" x14ac:dyDescent="0.3">
      <c r="B18" s="52" t="s">
        <v>80</v>
      </c>
      <c r="C18" s="52"/>
    </row>
    <row r="19" spans="2:3" x14ac:dyDescent="0.3">
      <c r="B19" s="3" t="s">
        <v>65</v>
      </c>
      <c r="C19" s="21">
        <f>MAX('Sales Sheet'!$I$3:$I$42)</f>
        <v>3600000</v>
      </c>
    </row>
    <row r="20" spans="2:3" x14ac:dyDescent="0.3">
      <c r="B20" s="3" t="s">
        <v>66</v>
      </c>
      <c r="C20" s="22">
        <f>MIN('Sales Sheet'!I3:I42)</f>
        <v>12000</v>
      </c>
    </row>
    <row r="21" spans="2:3" x14ac:dyDescent="0.3">
      <c r="B21" s="3" t="s">
        <v>67</v>
      </c>
      <c r="C21" s="22">
        <f>AVERAGE('Sales Sheet'!I3:I42)</f>
        <v>522600</v>
      </c>
    </row>
    <row r="22" spans="2:3" x14ac:dyDescent="0.3">
      <c r="B22" s="3" t="s">
        <v>68</v>
      </c>
      <c r="C22" s="22">
        <f>MAX('Performance Level'!F5:F12)</f>
        <v>6125000</v>
      </c>
    </row>
    <row r="23" spans="2:3" x14ac:dyDescent="0.3">
      <c r="B23" s="3" t="s">
        <v>69</v>
      </c>
      <c r="C23" s="22">
        <f>MIN('Performance Level'!F5:F12)</f>
        <v>654000</v>
      </c>
    </row>
    <row r="24" spans="2:3" x14ac:dyDescent="0.3">
      <c r="B24" s="3" t="s">
        <v>70</v>
      </c>
      <c r="C24" s="23">
        <f>COUNTA('Performance Level'!C5:C12)</f>
        <v>8</v>
      </c>
    </row>
  </sheetData>
  <mergeCells count="3">
    <mergeCell ref="B14:D14"/>
    <mergeCell ref="B18:C18"/>
    <mergeCell ref="B2:H2"/>
  </mergeCells>
  <conditionalFormatting sqref="G5:G12">
    <cfRule type="cellIs" dxfId="2" priority="1" operator="equal">
      <formula>"Yes"</formula>
    </cfRule>
    <cfRule type="cellIs" dxfId="1" priority="2" operator="equal">
      <formula>"No"</formula>
    </cfRule>
    <cfRule type="containsText" dxfId="0" priority="3" operator="containsText" text="&quot;No&quot;">
      <formula>NOT(ISERROR(SEARCH("""No""",G5)))</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M60"/>
  <sheetViews>
    <sheetView showGridLines="0" tabSelected="1" topLeftCell="A42" zoomScaleNormal="100" workbookViewId="0">
      <selection activeCell="F88" sqref="F88"/>
    </sheetView>
  </sheetViews>
  <sheetFormatPr baseColWidth="10" defaultColWidth="8.6640625" defaultRowHeight="14.4" x14ac:dyDescent="0.3"/>
  <cols>
    <col min="1" max="1" width="6.77734375" customWidth="1"/>
    <col min="2" max="2" width="23" bestFit="1" customWidth="1"/>
    <col min="3" max="3" width="16.33203125" bestFit="1" customWidth="1"/>
    <col min="4" max="4" width="20.6640625" bestFit="1" customWidth="1"/>
    <col min="5" max="5" width="23" bestFit="1" customWidth="1"/>
    <col min="6" max="6" width="20.6640625" bestFit="1" customWidth="1"/>
    <col min="7" max="7" width="16.33203125" bestFit="1" customWidth="1"/>
  </cols>
  <sheetData>
    <row r="2" spans="2:13" ht="21" x14ac:dyDescent="0.3">
      <c r="B2" s="40" t="s">
        <v>81</v>
      </c>
      <c r="C2" s="40"/>
      <c r="D2" s="40"/>
      <c r="E2" s="40"/>
      <c r="F2" s="33"/>
      <c r="G2" s="33"/>
      <c r="H2" s="33"/>
      <c r="I2" s="33"/>
      <c r="J2" s="33"/>
      <c r="K2" s="33"/>
      <c r="L2" s="33"/>
      <c r="M2" s="33"/>
    </row>
    <row r="3" spans="2:13" ht="14.4" customHeight="1" x14ac:dyDescent="0.3">
      <c r="B3" s="32"/>
      <c r="C3" s="32"/>
      <c r="D3" s="32"/>
      <c r="E3" s="32"/>
      <c r="F3" s="32"/>
      <c r="G3" s="32"/>
      <c r="H3" s="32"/>
      <c r="I3" s="32"/>
      <c r="J3" s="32"/>
      <c r="K3" s="32"/>
      <c r="L3" s="32"/>
      <c r="M3" s="32"/>
    </row>
    <row r="4" spans="2:13" ht="14.4" customHeight="1" x14ac:dyDescent="0.3">
      <c r="B4" s="39" t="s">
        <v>82</v>
      </c>
      <c r="C4" s="39"/>
      <c r="D4" s="39"/>
      <c r="E4" s="39"/>
      <c r="F4" s="32"/>
      <c r="G4" s="32"/>
      <c r="H4" s="32"/>
      <c r="I4" s="32"/>
      <c r="J4" s="32"/>
      <c r="K4" s="32"/>
      <c r="L4" s="32"/>
      <c r="M4" s="32"/>
    </row>
    <row r="5" spans="2:13" ht="14.4" customHeight="1" x14ac:dyDescent="0.3">
      <c r="B5" s="35"/>
      <c r="C5" s="35"/>
      <c r="D5" s="35"/>
      <c r="E5" s="35"/>
      <c r="F5" s="35"/>
      <c r="G5" s="35"/>
      <c r="H5" s="35"/>
      <c r="I5" s="32"/>
      <c r="J5" s="32"/>
      <c r="K5" s="32"/>
      <c r="L5" s="32"/>
      <c r="M5" s="32"/>
    </row>
    <row r="6" spans="2:13" ht="15.6" x14ac:dyDescent="0.3">
      <c r="B6" s="6" t="s">
        <v>115</v>
      </c>
      <c r="C6" s="7">
        <f>'Sales Sheet'!$I$44</f>
        <v>20904000</v>
      </c>
      <c r="D6" s="32"/>
      <c r="E6" s="32"/>
      <c r="F6" s="32"/>
      <c r="G6" s="32"/>
      <c r="H6" s="32"/>
      <c r="I6" s="32"/>
      <c r="J6" s="32"/>
      <c r="K6" s="32"/>
      <c r="L6" s="32"/>
      <c r="M6" s="32"/>
    </row>
    <row r="8" spans="2:13" ht="15.6" x14ac:dyDescent="0.3">
      <c r="B8" s="6" t="s">
        <v>116</v>
      </c>
      <c r="C8" s="7">
        <f>'Performance Level'!$C$19</f>
        <v>3600000</v>
      </c>
    </row>
    <row r="10" spans="2:13" ht="15.6" x14ac:dyDescent="0.3">
      <c r="B10" s="6" t="s">
        <v>117</v>
      </c>
      <c r="C10" s="7">
        <f>'Performance Level'!$C$21</f>
        <v>522600</v>
      </c>
    </row>
    <row r="12" spans="2:13" ht="15.6" x14ac:dyDescent="0.3">
      <c r="B12" s="6" t="s">
        <v>118</v>
      </c>
      <c r="C12" s="8">
        <f>'Performance Level'!$E$14</f>
        <v>4</v>
      </c>
    </row>
    <row r="15" spans="2:13" x14ac:dyDescent="0.3">
      <c r="B15" s="37" t="s">
        <v>93</v>
      </c>
      <c r="C15" s="38"/>
      <c r="D15" s="38"/>
      <c r="E15" s="38"/>
      <c r="F15" s="34"/>
      <c r="G15" s="34"/>
      <c r="H15" s="34"/>
      <c r="I15" s="34"/>
      <c r="J15" s="34"/>
      <c r="K15" s="34"/>
      <c r="L15" s="34"/>
      <c r="M15" s="34"/>
    </row>
    <row r="16" spans="2:13" x14ac:dyDescent="0.3">
      <c r="I16" s="25"/>
    </row>
    <row r="17" spans="2:5" ht="15" customHeight="1" x14ac:dyDescent="0.3">
      <c r="B17" s="10" t="s">
        <v>113</v>
      </c>
      <c r="C17" t="s">
        <v>75</v>
      </c>
    </row>
    <row r="18" spans="2:5" x14ac:dyDescent="0.3">
      <c r="B18" s="11" t="s">
        <v>13</v>
      </c>
      <c r="C18" s="12">
        <v>1220000</v>
      </c>
    </row>
    <row r="19" spans="2:5" x14ac:dyDescent="0.3">
      <c r="B19" s="11" t="s">
        <v>18</v>
      </c>
      <c r="C19" s="12">
        <v>4650000</v>
      </c>
    </row>
    <row r="20" spans="2:5" x14ac:dyDescent="0.3">
      <c r="B20" s="11" t="s">
        <v>23</v>
      </c>
      <c r="C20" s="12">
        <v>654000</v>
      </c>
    </row>
    <row r="21" spans="2:5" x14ac:dyDescent="0.3">
      <c r="B21" s="11" t="s">
        <v>28</v>
      </c>
      <c r="C21" s="12">
        <v>1136000</v>
      </c>
    </row>
    <row r="22" spans="2:5" x14ac:dyDescent="0.3">
      <c r="B22" s="11" t="s">
        <v>33</v>
      </c>
      <c r="C22" s="12">
        <v>6125000</v>
      </c>
    </row>
    <row r="23" spans="2:5" x14ac:dyDescent="0.3">
      <c r="B23" s="11" t="s">
        <v>37</v>
      </c>
      <c r="C23" s="12">
        <v>3379000</v>
      </c>
    </row>
    <row r="24" spans="2:5" x14ac:dyDescent="0.3">
      <c r="B24" s="11" t="s">
        <v>41</v>
      </c>
      <c r="C24" s="12">
        <v>2205000</v>
      </c>
    </row>
    <row r="25" spans="2:5" x14ac:dyDescent="0.3">
      <c r="B25" s="11" t="s">
        <v>45</v>
      </c>
      <c r="C25" s="12">
        <v>1535000</v>
      </c>
    </row>
    <row r="26" spans="2:5" x14ac:dyDescent="0.3">
      <c r="B26" s="11" t="s">
        <v>114</v>
      </c>
      <c r="C26" s="12">
        <v>20904000</v>
      </c>
    </row>
    <row r="27" spans="2:5" x14ac:dyDescent="0.3">
      <c r="B27" s="36"/>
      <c r="C27" s="36"/>
      <c r="D27" s="36"/>
      <c r="E27" s="36"/>
    </row>
    <row r="47" spans="2:5" x14ac:dyDescent="0.3">
      <c r="B47" s="10" t="s">
        <v>113</v>
      </c>
      <c r="C47" t="s">
        <v>112</v>
      </c>
      <c r="E47" t="s">
        <v>119</v>
      </c>
    </row>
    <row r="48" spans="2:5" x14ac:dyDescent="0.3">
      <c r="B48" s="11" t="s">
        <v>32</v>
      </c>
      <c r="C48" s="58">
        <v>2</v>
      </c>
    </row>
    <row r="49" spans="2:3" x14ac:dyDescent="0.3">
      <c r="B49" s="11" t="s">
        <v>54</v>
      </c>
      <c r="C49" s="58">
        <v>9</v>
      </c>
    </row>
    <row r="50" spans="2:3" x14ac:dyDescent="0.3">
      <c r="B50" s="11" t="s">
        <v>44</v>
      </c>
      <c r="C50" s="58">
        <v>2</v>
      </c>
    </row>
    <row r="51" spans="2:3" x14ac:dyDescent="0.3">
      <c r="B51" s="11" t="s">
        <v>50</v>
      </c>
      <c r="C51" s="58">
        <v>26</v>
      </c>
    </row>
    <row r="52" spans="2:3" x14ac:dyDescent="0.3">
      <c r="B52" s="11" t="s">
        <v>12</v>
      </c>
      <c r="C52" s="58">
        <v>20</v>
      </c>
    </row>
    <row r="53" spans="2:3" x14ac:dyDescent="0.3">
      <c r="B53" s="11" t="s">
        <v>17</v>
      </c>
      <c r="C53" s="58">
        <v>16</v>
      </c>
    </row>
    <row r="54" spans="2:3" x14ac:dyDescent="0.3">
      <c r="B54" s="11" t="s">
        <v>22</v>
      </c>
      <c r="C54" s="58">
        <v>21</v>
      </c>
    </row>
    <row r="55" spans="2:3" x14ac:dyDescent="0.3">
      <c r="B55" s="11" t="s">
        <v>36</v>
      </c>
      <c r="C55" s="58">
        <v>11</v>
      </c>
    </row>
    <row r="56" spans="2:3" x14ac:dyDescent="0.3">
      <c r="B56" s="11" t="s">
        <v>52</v>
      </c>
      <c r="C56" s="58">
        <v>27</v>
      </c>
    </row>
    <row r="57" spans="2:3" x14ac:dyDescent="0.3">
      <c r="B57" s="11" t="s">
        <v>40</v>
      </c>
      <c r="C57" s="58">
        <v>20</v>
      </c>
    </row>
    <row r="58" spans="2:3" x14ac:dyDescent="0.3">
      <c r="B58" s="11" t="s">
        <v>48</v>
      </c>
      <c r="C58" s="58">
        <v>7</v>
      </c>
    </row>
    <row r="59" spans="2:3" x14ac:dyDescent="0.3">
      <c r="B59" s="11" t="s">
        <v>27</v>
      </c>
      <c r="C59" s="58">
        <v>8</v>
      </c>
    </row>
    <row r="60" spans="2:3" x14ac:dyDescent="0.3">
      <c r="B60" s="11" t="s">
        <v>114</v>
      </c>
      <c r="C60" s="58">
        <v>169</v>
      </c>
    </row>
  </sheetData>
  <mergeCells count="3">
    <mergeCell ref="B15:E15"/>
    <mergeCell ref="B4:E4"/>
    <mergeCell ref="B2:E2"/>
  </mergeCells>
  <pageMargins left="0.75" right="0.75" top="1" bottom="1" header="0.511811023622047" footer="0.511811023622047"/>
  <pageSetup paperSize="9" orientation="portrait" horizontalDpi="300" verticalDpi="300"/>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53"/>
  <sheetViews>
    <sheetView showGridLines="0" topLeftCell="A5" zoomScaleNormal="100" workbookViewId="0">
      <selection activeCell="E36" sqref="E36"/>
    </sheetView>
  </sheetViews>
  <sheetFormatPr baseColWidth="10" defaultColWidth="8.6640625" defaultRowHeight="14.4" x14ac:dyDescent="0.3"/>
  <cols>
    <col min="1" max="1" width="3" customWidth="1"/>
    <col min="2" max="2" width="95" customWidth="1"/>
  </cols>
  <sheetData>
    <row r="2" spans="2:2" ht="33" x14ac:dyDescent="0.6">
      <c r="B2" s="24" t="s">
        <v>71</v>
      </c>
    </row>
    <row r="4" spans="2:2" ht="15" customHeight="1" x14ac:dyDescent="0.3">
      <c r="B4" s="56" t="s">
        <v>89</v>
      </c>
    </row>
    <row r="5" spans="2:2" x14ac:dyDescent="0.3">
      <c r="B5" s="57"/>
    </row>
    <row r="6" spans="2:2" x14ac:dyDescent="0.3">
      <c r="B6" s="57"/>
    </row>
    <row r="7" spans="2:2" x14ac:dyDescent="0.3">
      <c r="B7" s="57"/>
    </row>
    <row r="8" spans="2:2" x14ac:dyDescent="0.3">
      <c r="B8" s="57"/>
    </row>
    <row r="9" spans="2:2" x14ac:dyDescent="0.3">
      <c r="B9" s="57"/>
    </row>
    <row r="11" spans="2:2" x14ac:dyDescent="0.3">
      <c r="B11" s="1" t="s">
        <v>72</v>
      </c>
    </row>
    <row r="12" spans="2:2" x14ac:dyDescent="0.3">
      <c r="B12" s="9" t="s">
        <v>83</v>
      </c>
    </row>
    <row r="13" spans="2:2" x14ac:dyDescent="0.3">
      <c r="B13" s="9" t="s">
        <v>84</v>
      </c>
    </row>
    <row r="14" spans="2:2" x14ac:dyDescent="0.3">
      <c r="B14" s="9" t="s">
        <v>85</v>
      </c>
    </row>
    <row r="15" spans="2:2" x14ac:dyDescent="0.3">
      <c r="B15" s="26" t="s">
        <v>101</v>
      </c>
    </row>
    <row r="16" spans="2:2" x14ac:dyDescent="0.3">
      <c r="B16" s="9" t="s">
        <v>86</v>
      </c>
    </row>
    <row r="17" spans="2:2" x14ac:dyDescent="0.3">
      <c r="B17" s="9" t="s">
        <v>87</v>
      </c>
    </row>
    <row r="18" spans="2:2" x14ac:dyDescent="0.3">
      <c r="B18" s="9" t="s">
        <v>88</v>
      </c>
    </row>
    <row r="19" spans="2:2" x14ac:dyDescent="0.3">
      <c r="B19" s="9" t="s">
        <v>90</v>
      </c>
    </row>
    <row r="20" spans="2:2" ht="15" customHeight="1" x14ac:dyDescent="0.3">
      <c r="B20" s="9" t="s">
        <v>91</v>
      </c>
    </row>
    <row r="21" spans="2:2" x14ac:dyDescent="0.3">
      <c r="B21" s="27" t="s">
        <v>102</v>
      </c>
    </row>
    <row r="22" spans="2:2" x14ac:dyDescent="0.3">
      <c r="B22" s="27" t="s">
        <v>109</v>
      </c>
    </row>
    <row r="23" spans="2:2" x14ac:dyDescent="0.3">
      <c r="B23" s="27" t="s">
        <v>110</v>
      </c>
    </row>
    <row r="24" spans="2:2" x14ac:dyDescent="0.3">
      <c r="B24" s="26"/>
    </row>
    <row r="25" spans="2:2" ht="17.399999999999999" x14ac:dyDescent="0.3">
      <c r="B25" s="28" t="s">
        <v>111</v>
      </c>
    </row>
    <row r="27" spans="2:2" x14ac:dyDescent="0.3">
      <c r="B27" s="1" t="s">
        <v>94</v>
      </c>
    </row>
    <row r="28" spans="2:2" x14ac:dyDescent="0.3">
      <c r="B28" s="55" t="s">
        <v>95</v>
      </c>
    </row>
    <row r="29" spans="2:2" x14ac:dyDescent="0.3">
      <c r="B29" s="55"/>
    </row>
    <row r="30" spans="2:2" x14ac:dyDescent="0.3">
      <c r="B30" s="55"/>
    </row>
    <row r="31" spans="2:2" x14ac:dyDescent="0.3">
      <c r="B31" s="1" t="s">
        <v>96</v>
      </c>
    </row>
    <row r="32" spans="2:2" ht="14.4" customHeight="1" x14ac:dyDescent="0.3">
      <c r="B32" s="54" t="s">
        <v>97</v>
      </c>
    </row>
    <row r="33" spans="2:2" x14ac:dyDescent="0.3">
      <c r="B33" s="54"/>
    </row>
    <row r="34" spans="2:2" x14ac:dyDescent="0.3">
      <c r="B34" s="54"/>
    </row>
    <row r="35" spans="2:2" x14ac:dyDescent="0.3">
      <c r="B35" s="54"/>
    </row>
    <row r="36" spans="2:2" x14ac:dyDescent="0.3">
      <c r="B36" s="54"/>
    </row>
    <row r="37" spans="2:2" x14ac:dyDescent="0.3">
      <c r="B37" s="54"/>
    </row>
    <row r="38" spans="2:2" x14ac:dyDescent="0.3">
      <c r="B38" s="1" t="s">
        <v>63</v>
      </c>
    </row>
    <row r="39" spans="2:2" ht="14.4" customHeight="1" x14ac:dyDescent="0.3">
      <c r="B39" s="54" t="s">
        <v>105</v>
      </c>
    </row>
    <row r="40" spans="2:2" x14ac:dyDescent="0.3">
      <c r="B40" s="54"/>
    </row>
    <row r="41" spans="2:2" x14ac:dyDescent="0.3">
      <c r="B41" s="54"/>
    </row>
    <row r="42" spans="2:2" x14ac:dyDescent="0.3">
      <c r="B42" s="54"/>
    </row>
    <row r="43" spans="2:2" x14ac:dyDescent="0.3">
      <c r="B43" s="54"/>
    </row>
    <row r="44" spans="2:2" x14ac:dyDescent="0.3">
      <c r="B44" s="54"/>
    </row>
    <row r="45" spans="2:2" x14ac:dyDescent="0.3">
      <c r="B45" s="54"/>
    </row>
    <row r="46" spans="2:2" x14ac:dyDescent="0.3">
      <c r="B46" s="1" t="s">
        <v>98</v>
      </c>
    </row>
    <row r="47" spans="2:2" x14ac:dyDescent="0.3">
      <c r="B47" s="55" t="s">
        <v>104</v>
      </c>
    </row>
    <row r="48" spans="2:2" x14ac:dyDescent="0.3">
      <c r="B48" s="55"/>
    </row>
    <row r="49" spans="2:2" x14ac:dyDescent="0.3">
      <c r="B49" s="55"/>
    </row>
    <row r="50" spans="2:2" x14ac:dyDescent="0.3">
      <c r="B50" s="1" t="s">
        <v>99</v>
      </c>
    </row>
    <row r="51" spans="2:2" x14ac:dyDescent="0.3">
      <c r="B51" s="55" t="s">
        <v>100</v>
      </c>
    </row>
    <row r="52" spans="2:2" x14ac:dyDescent="0.3">
      <c r="B52" s="55"/>
    </row>
    <row r="53" spans="2:2" x14ac:dyDescent="0.3">
      <c r="B53" s="55"/>
    </row>
  </sheetData>
  <mergeCells count="6">
    <mergeCell ref="B39:B45"/>
    <mergeCell ref="B47:B49"/>
    <mergeCell ref="B51:B53"/>
    <mergeCell ref="B4:B9"/>
    <mergeCell ref="B28:B30"/>
    <mergeCell ref="B32:B3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Cover</vt:lpstr>
      <vt:lpstr>Master Data</vt:lpstr>
      <vt:lpstr>Sales Sheet</vt:lpstr>
      <vt:lpstr>Performance Level</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Aryen Arauz Castillo</cp:lastModifiedBy>
  <cp:revision>0</cp:revision>
  <dcterms:created xsi:type="dcterms:W3CDTF">2026-09-27T08:07:18Z</dcterms:created>
  <dcterms:modified xsi:type="dcterms:W3CDTF">2026-09-28T19:05:52Z</dcterms:modified>
  <dc:language>en-US</dc:language>
</cp:coreProperties>
</file>